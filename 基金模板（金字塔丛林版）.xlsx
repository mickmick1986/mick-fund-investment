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655" tabRatio="600" firstSheet="0" activeTab="2" autoFilterDateGrouping="1"/>
  </bookViews>
  <sheets>
    <sheet xmlns:r="http://schemas.openxmlformats.org/officeDocument/2006/relationships" name="场外1.0补仓" sheetId="1" state="visible" r:id="rId1"/>
    <sheet xmlns:r="http://schemas.openxmlformats.org/officeDocument/2006/relationships" name="场外2.0金字塔补仓" sheetId="2" state="visible" r:id="rId2"/>
    <sheet xmlns:r="http://schemas.openxmlformats.org/officeDocument/2006/relationships" name="金字塔丛林补仓" sheetId="3" state="visible" r:id="rId3"/>
    <sheet xmlns:r="http://schemas.openxmlformats.org/officeDocument/2006/relationships" name="手续费（场外）" sheetId="4" state="visible" r:id="rId4"/>
    <sheet xmlns:r="http://schemas.openxmlformats.org/officeDocument/2006/relationships" name="赎回计算" sheetId="5" state="visible" r:id="rId5"/>
    <sheet xmlns:r="http://schemas.openxmlformats.org/officeDocument/2006/relationships" name="盈亏模板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0_ "/>
  </numFmts>
  <fonts count="48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theme="0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b val="1"/>
      <color rgb="FF00B050"/>
      <sz val="11"/>
      <scheme val="minor"/>
    </font>
    <font>
      <name val="等线"/>
      <charset val="134"/>
      <b val="1"/>
      <color rgb="FF0AA633"/>
      <sz val="11"/>
      <scheme val="minor"/>
    </font>
    <font>
      <name val="等线"/>
      <charset val="134"/>
      <b val="1"/>
      <color theme="0"/>
      <sz val="12"/>
      <scheme val="minor"/>
    </font>
    <font>
      <name val="等线"/>
      <charset val="134"/>
      <b val="1"/>
      <color rgb="FFFFFFFF"/>
      <sz val="11"/>
      <scheme val="minor"/>
    </font>
    <font>
      <name val="等线"/>
      <charset val="134"/>
      <b val="1"/>
      <color rgb="FF5D6D7E"/>
      <sz val="11"/>
      <scheme val="minor"/>
    </font>
    <font>
      <name val="等线"/>
      <charset val="134"/>
      <sz val="11"/>
      <scheme val="minor"/>
    </font>
    <font>
      <name val="等线"/>
      <charset val="134"/>
      <color rgb="FF9E9E9E"/>
      <sz val="11"/>
      <scheme val="minor"/>
    </font>
    <font>
      <name val="等线"/>
      <charset val="134"/>
      <b val="1"/>
      <color rgb="FF2E7D32"/>
      <sz val="11"/>
      <scheme val="minor"/>
    </font>
    <font>
      <name val="等线"/>
      <charset val="134"/>
      <b val="1"/>
      <color rgb="FFF57F17"/>
      <sz val="11"/>
      <scheme val="minor"/>
    </font>
    <font>
      <name val="等线"/>
      <charset val="134"/>
      <b val="1"/>
      <color rgb="FFE65100"/>
      <sz val="11"/>
      <scheme val="minor"/>
    </font>
    <font>
      <name val="等线"/>
      <charset val="134"/>
      <b val="1"/>
      <color rgb="FF95A5A6"/>
      <sz val="11"/>
      <scheme val="minor"/>
    </font>
    <font>
      <name val="等线"/>
      <charset val="134"/>
      <b val="1"/>
      <color rgb="FF1B5E20"/>
      <sz val="11"/>
      <scheme val="minor"/>
    </font>
    <font>
      <name val="等线"/>
      <charset val="134"/>
      <b val="1"/>
      <color rgb="FF7F8C8D"/>
      <sz val="11"/>
      <scheme val="minor"/>
    </font>
    <font>
      <name val="等线"/>
      <charset val="134"/>
      <b val="1"/>
      <color theme="1" tint="0.5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b val="1"/>
      <color rgb="FF5D6D7E"/>
    </font>
    <font/>
    <font>
      <color rgb="FF9E9E9E"/>
    </font>
    <font>
      <b val="1"/>
      <color rgb="FFE65100"/>
    </font>
    <font>
      <b val="1"/>
      <color rgb="FF95A5A6"/>
    </font>
    <font>
      <b val="1"/>
      <color rgb="FF2E7D32"/>
    </font>
    <font>
      <b val="1"/>
      <color rgb="FF7F8C8D"/>
    </font>
    <font>
      <b val="1"/>
      <color rgb="FFF57F17"/>
    </font>
    <font>
      <b val="1"/>
      <color rgb="FF1B5E20"/>
    </font>
  </fonts>
  <fills count="46">
    <fill>
      <patternFill/>
    </fill>
    <fill>
      <patternFill patternType="gray125"/>
    </fill>
    <fill>
      <patternFill patternType="solid">
        <fgColor theme="7" tint="0.3999450666829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rgb="FF2E7D32"/>
        <bgColor rgb="FF2E7D32"/>
      </patternFill>
    </fill>
    <fill>
      <patternFill patternType="solid">
        <fgColor theme="4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E0E0E0"/>
        <bgColor rgb="FFE0E0E0"/>
      </patternFill>
    </fill>
    <fill>
      <patternFill patternType="solid">
        <fgColor rgb="FFFFF9C4"/>
        <bgColor rgb="FFFFF9C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0" fillId="20" borderId="6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7" applyAlignment="1">
      <alignment vertical="center"/>
    </xf>
    <xf numFmtId="0" fontId="25" fillId="0" borderId="7" applyAlignment="1">
      <alignment vertical="center"/>
    </xf>
    <xf numFmtId="0" fontId="26" fillId="0" borderId="8" applyAlignment="1">
      <alignment vertical="center"/>
    </xf>
    <xf numFmtId="0" fontId="26" fillId="0" borderId="0" applyAlignment="1">
      <alignment vertical="center"/>
    </xf>
    <xf numFmtId="0" fontId="27" fillId="21" borderId="9" applyAlignment="1">
      <alignment vertical="center"/>
    </xf>
    <xf numFmtId="0" fontId="28" fillId="22" borderId="10" applyAlignment="1">
      <alignment vertical="center"/>
    </xf>
    <xf numFmtId="0" fontId="29" fillId="22" borderId="9" applyAlignment="1">
      <alignment vertical="center"/>
    </xf>
    <xf numFmtId="0" fontId="30" fillId="23" borderId="11" applyAlignment="1">
      <alignment vertical="center"/>
    </xf>
    <xf numFmtId="0" fontId="31" fillId="0" borderId="12" applyAlignment="1">
      <alignment vertical="center"/>
    </xf>
    <xf numFmtId="0" fontId="32" fillId="0" borderId="13" applyAlignment="1">
      <alignment vertical="center"/>
    </xf>
    <xf numFmtId="0" fontId="33" fillId="24" borderId="0" applyAlignment="1">
      <alignment vertical="center"/>
    </xf>
    <xf numFmtId="0" fontId="34" fillId="25" borderId="0" applyAlignment="1">
      <alignment vertical="center"/>
    </xf>
    <xf numFmtId="0" fontId="35" fillId="26" borderId="0" applyAlignment="1">
      <alignment vertical="center"/>
    </xf>
    <xf numFmtId="0" fontId="36" fillId="27" borderId="0" applyAlignment="1">
      <alignment vertical="center"/>
    </xf>
    <xf numFmtId="0" fontId="37" fillId="6" borderId="0" applyAlignment="1">
      <alignment vertical="center"/>
    </xf>
    <xf numFmtId="0" fontId="37" fillId="28" borderId="0" applyAlignment="1">
      <alignment vertical="center"/>
    </xf>
    <xf numFmtId="0" fontId="36" fillId="29" borderId="0" applyAlignment="1">
      <alignment vertical="center"/>
    </xf>
    <xf numFmtId="0" fontId="36" fillId="30" borderId="0" applyAlignment="1">
      <alignment vertical="center"/>
    </xf>
    <xf numFmtId="0" fontId="37" fillId="17" borderId="0" applyAlignment="1">
      <alignment vertical="center"/>
    </xf>
    <xf numFmtId="0" fontId="37" fillId="19" borderId="0" applyAlignment="1">
      <alignment vertical="center"/>
    </xf>
    <xf numFmtId="0" fontId="36" fillId="31" borderId="0" applyAlignment="1">
      <alignment vertical="center"/>
    </xf>
    <xf numFmtId="0" fontId="36" fillId="32" borderId="0" applyAlignment="1">
      <alignment vertical="center"/>
    </xf>
    <xf numFmtId="0" fontId="37" fillId="33" borderId="0" applyAlignment="1">
      <alignment vertical="center"/>
    </xf>
    <xf numFmtId="0" fontId="37" fillId="34" borderId="0" applyAlignment="1">
      <alignment vertical="center"/>
    </xf>
    <xf numFmtId="0" fontId="36" fillId="35" borderId="0" applyAlignment="1">
      <alignment vertical="center"/>
    </xf>
    <xf numFmtId="0" fontId="36" fillId="36" borderId="0" applyAlignment="1">
      <alignment vertical="center"/>
    </xf>
    <xf numFmtId="0" fontId="37" fillId="5" borderId="0" applyAlignment="1">
      <alignment vertical="center"/>
    </xf>
    <xf numFmtId="0" fontId="37" fillId="37" borderId="0" applyAlignment="1">
      <alignment vertical="center"/>
    </xf>
    <xf numFmtId="0" fontId="36" fillId="38" borderId="0" applyAlignment="1">
      <alignment vertical="center"/>
    </xf>
    <xf numFmtId="0" fontId="36" fillId="39" borderId="0" applyAlignment="1">
      <alignment vertical="center"/>
    </xf>
    <xf numFmtId="0" fontId="37" fillId="40" borderId="0" applyAlignment="1">
      <alignment vertical="center"/>
    </xf>
    <xf numFmtId="0" fontId="37" fillId="41" borderId="0" applyAlignment="1">
      <alignment vertical="center"/>
    </xf>
    <xf numFmtId="0" fontId="36" fillId="42" borderId="0" applyAlignment="1">
      <alignment vertical="center"/>
    </xf>
    <xf numFmtId="0" fontId="36" fillId="43" borderId="0" applyAlignment="1">
      <alignment vertical="center"/>
    </xf>
    <xf numFmtId="0" fontId="37" fillId="7" borderId="0" applyAlignment="1">
      <alignment vertical="center"/>
    </xf>
    <xf numFmtId="0" fontId="37" fillId="44" borderId="0" applyAlignment="1">
      <alignment vertical="center"/>
    </xf>
    <xf numFmtId="0" fontId="36" fillId="45" borderId="0" applyAlignment="1">
      <alignment vertical="center"/>
    </xf>
  </cellStyleXfs>
  <cellXfs count="9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2" fillId="3" borderId="2" pivotButton="0" quotePrefix="0" xfId="0"/>
    <xf numFmtId="0" fontId="3" fillId="3" borderId="2" applyAlignment="1" pivotButton="0" quotePrefix="0" xfId="0">
      <alignment horizontal="center"/>
    </xf>
    <xf numFmtId="0" fontId="0" fillId="0" borderId="2" pivotButton="0" quotePrefix="0" xfId="0"/>
    <xf numFmtId="2" fontId="0" fillId="0" borderId="2" pivotButton="0" quotePrefix="0" xfId="0"/>
    <xf numFmtId="10" fontId="4" fillId="0" borderId="2" pivotButton="0" quotePrefix="0" xfId="3"/>
    <xf numFmtId="9" fontId="5" fillId="0" borderId="2" pivotButton="0" quotePrefix="0" xfId="3"/>
    <xf numFmtId="0" fontId="2" fillId="3" borderId="2" applyAlignment="1" pivotButton="0" quotePrefix="0" xfId="0">
      <alignment horizontal="center"/>
    </xf>
    <xf numFmtId="10" fontId="6" fillId="0" borderId="2" pivotButton="0" quotePrefix="0" xfId="3"/>
    <xf numFmtId="0" fontId="4" fillId="0" borderId="2" pivotButton="0" quotePrefix="0" xfId="0"/>
    <xf numFmtId="9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0" fillId="4" borderId="2" pivotButton="0" quotePrefix="0" xfId="0"/>
    <xf numFmtId="0" fontId="1" fillId="5" borderId="2" pivotButton="0" quotePrefix="0" xfId="0"/>
    <xf numFmtId="9" fontId="4" fillId="0" borderId="2" pivotButton="0" quotePrefix="0" xfId="0"/>
    <xf numFmtId="164" fontId="1" fillId="0" borderId="2" pivotButton="0" quotePrefix="0" xfId="0"/>
    <xf numFmtId="0" fontId="7" fillId="3" borderId="2" applyAlignment="1" pivotButton="0" quotePrefix="0" xfId="0">
      <alignment vertical="center"/>
    </xf>
    <xf numFmtId="0" fontId="0" fillId="6" borderId="2" pivotButton="0" quotePrefix="0" xfId="0"/>
    <xf numFmtId="10" fontId="0" fillId="7" borderId="2" pivotButton="0" quotePrefix="0" xfId="0"/>
    <xf numFmtId="10" fontId="4" fillId="7" borderId="2" pivotButton="0" quotePrefix="0" xfId="0"/>
    <xf numFmtId="0" fontId="2" fillId="3" borderId="2" applyAlignment="1" pivotButton="0" quotePrefix="0" xfId="0">
      <alignment horizontal="left" vertical="center"/>
    </xf>
    <xf numFmtId="0" fontId="2" fillId="8" borderId="2" applyAlignment="1" pivotButton="0" quotePrefix="0" xfId="0">
      <alignment horizontal="left" vertical="center"/>
    </xf>
    <xf numFmtId="0" fontId="8" fillId="9" borderId="5" applyAlignment="1" pivotButton="0" quotePrefix="0" xfId="0">
      <alignment horizontal="center" vertical="center" wrapText="1"/>
    </xf>
    <xf numFmtId="0" fontId="0" fillId="10" borderId="2" pivotButton="0" quotePrefix="0" xfId="0"/>
    <xf numFmtId="0" fontId="1" fillId="10" borderId="2" applyAlignment="1" pivotButton="0" quotePrefix="0" xfId="0">
      <alignment horizontal="left"/>
    </xf>
    <xf numFmtId="165" fontId="1" fillId="11" borderId="2" pivotButton="0" quotePrefix="0" xfId="0"/>
    <xf numFmtId="10" fontId="0" fillId="11" borderId="2" pivotButton="0" quotePrefix="0" xfId="3"/>
    <xf numFmtId="10" fontId="0" fillId="12" borderId="2" applyAlignment="1" pivotButton="0" quotePrefix="0" xfId="3">
      <alignment vertical="center"/>
    </xf>
    <xf numFmtId="164" fontId="0" fillId="12" borderId="2" pivotButton="0" quotePrefix="0" xfId="3"/>
    <xf numFmtId="0" fontId="0" fillId="12" borderId="2" pivotButton="0" quotePrefix="0" xfId="3"/>
    <xf numFmtId="0" fontId="9" fillId="12" borderId="2" pivotButton="0" quotePrefix="0" xfId="3"/>
    <xf numFmtId="0" fontId="0" fillId="13" borderId="2" pivotButton="0" quotePrefix="0" xfId="3"/>
    <xf numFmtId="0" fontId="1" fillId="13" borderId="2" pivotButton="0" quotePrefix="0" xfId="3"/>
    <xf numFmtId="165" fontId="1" fillId="11" borderId="2" pivotButton="0" quotePrefix="0" xfId="3"/>
    <xf numFmtId="0" fontId="1" fillId="11" borderId="2" applyAlignment="1" pivotButton="0" quotePrefix="0" xfId="3">
      <alignment horizontal="right" vertical="center"/>
    </xf>
    <xf numFmtId="0" fontId="1" fillId="11" borderId="2" pivotButton="0" quotePrefix="0" xfId="0"/>
    <xf numFmtId="0" fontId="1" fillId="14" borderId="2" applyAlignment="1" pivotButton="0" quotePrefix="0" xfId="0">
      <alignment horizontal="center"/>
    </xf>
    <xf numFmtId="165" fontId="1" fillId="14" borderId="2" pivotButton="0" quotePrefix="0" xfId="0"/>
    <xf numFmtId="10" fontId="4" fillId="14" borderId="2" applyAlignment="1" pivotButton="0" quotePrefix="0" xfId="3">
      <alignment vertical="center"/>
    </xf>
    <xf numFmtId="0" fontId="10" fillId="14" borderId="2" pivotButton="0" quotePrefix="0" xfId="0"/>
    <xf numFmtId="0" fontId="1" fillId="11" borderId="2" applyAlignment="1" pivotButton="0" quotePrefix="0" xfId="0">
      <alignment horizontal="center"/>
    </xf>
    <xf numFmtId="0" fontId="4" fillId="11" borderId="2" pivotButton="0" quotePrefix="0" xfId="0"/>
    <xf numFmtId="0" fontId="1" fillId="14" borderId="2" pivotButton="0" quotePrefix="0" xfId="0"/>
    <xf numFmtId="0" fontId="11" fillId="15" borderId="5" applyAlignment="1" pivotButton="0" quotePrefix="0" xfId="0">
      <alignment horizontal="center" vertical="center" wrapText="1"/>
    </xf>
    <xf numFmtId="0" fontId="12" fillId="12" borderId="2" pivotButton="0" quotePrefix="0" xfId="3"/>
    <xf numFmtId="0" fontId="13" fillId="16" borderId="5" applyAlignment="1" pivotButton="0" quotePrefix="0" xfId="0">
      <alignment horizontal="center" vertical="center" wrapText="1"/>
    </xf>
    <xf numFmtId="0" fontId="14" fillId="12" borderId="2" pivotButton="0" quotePrefix="0" xfId="3"/>
    <xf numFmtId="0" fontId="15" fillId="12" borderId="2" pivotButton="0" quotePrefix="0" xfId="3"/>
    <xf numFmtId="0" fontId="16" fillId="12" borderId="2" pivotButton="0" quotePrefix="0" xfId="3"/>
    <xf numFmtId="0" fontId="17" fillId="12" borderId="2" pivotButton="0" quotePrefix="0" xfId="3"/>
    <xf numFmtId="0" fontId="1" fillId="11" borderId="2" pivotButton="0" quotePrefix="0" xfId="3"/>
    <xf numFmtId="0" fontId="10" fillId="0" borderId="5" applyAlignment="1" pivotButton="0" quotePrefix="0" xfId="0">
      <alignment horizontal="center" vertical="center" wrapText="1"/>
    </xf>
    <xf numFmtId="166" fontId="1" fillId="11" borderId="2" pivotButton="0" quotePrefix="0" xfId="0"/>
    <xf numFmtId="0" fontId="2" fillId="3" borderId="2" applyAlignment="1" pivotButton="0" quotePrefix="0" xfId="0">
      <alignment vertical="center"/>
    </xf>
    <xf numFmtId="0" fontId="2" fillId="8" borderId="2" applyAlignment="1" pivotButton="0" quotePrefix="0" xfId="0">
      <alignment vertical="center"/>
    </xf>
    <xf numFmtId="0" fontId="1" fillId="17" borderId="2" pivotButton="0" quotePrefix="0" xfId="0"/>
    <xf numFmtId="10" fontId="0" fillId="0" borderId="2" pivotButton="0" quotePrefix="0" xfId="3"/>
    <xf numFmtId="0" fontId="0" fillId="0" borderId="2" applyAlignment="1" pivotButton="0" quotePrefix="0" xfId="0">
      <alignment wrapText="1"/>
    </xf>
    <xf numFmtId="166" fontId="1" fillId="17" borderId="2" pivotButton="0" quotePrefix="0" xfId="0"/>
    <xf numFmtId="0" fontId="0" fillId="0" borderId="0" applyAlignment="1" pivotButton="0" quotePrefix="0" xfId="0">
      <alignment horizontal="left"/>
    </xf>
    <xf numFmtId="0" fontId="2" fillId="3" borderId="2" applyAlignment="1" pivotButton="0" quotePrefix="0" xfId="0">
      <alignment horizontal="left"/>
    </xf>
    <xf numFmtId="0" fontId="1" fillId="0" borderId="2" pivotButton="0" quotePrefix="0" xfId="0"/>
    <xf numFmtId="10" fontId="18" fillId="0" borderId="2" pivotButton="0" quotePrefix="0" xfId="3"/>
    <xf numFmtId="10" fontId="0" fillId="0" borderId="2" pivotButton="0" quotePrefix="0" xfId="0"/>
    <xf numFmtId="10" fontId="18" fillId="18" borderId="2" pivotButton="0" quotePrefix="0" xfId="0"/>
    <xf numFmtId="0" fontId="1" fillId="19" borderId="2" applyAlignment="1" pivotButton="0" quotePrefix="0" xfId="0">
      <alignment horizontal="right"/>
    </xf>
    <xf numFmtId="166" fontId="1" fillId="0" borderId="2" pivotButton="0" quotePrefix="0" xfId="0"/>
    <xf numFmtId="0" fontId="1" fillId="10" borderId="2" applyAlignment="1" pivotButton="0" quotePrefix="1" xfId="0">
      <alignment horizontal="left"/>
    </xf>
    <xf numFmtId="166" fontId="1" fillId="0" borderId="2" pivotButton="0" quotePrefix="0" xfId="0"/>
    <xf numFmtId="166" fontId="1" fillId="17" borderId="2" pivotButton="0" quotePrefix="0" xfId="0"/>
    <xf numFmtId="165" fontId="1" fillId="11" borderId="2" pivotButton="0" quotePrefix="0" xfId="0"/>
    <xf numFmtId="164" fontId="0" fillId="12" borderId="2" pivotButton="0" quotePrefix="0" xfId="3"/>
    <xf numFmtId="0" fontId="0" fillId="0" borderId="2" pivotButton="0" quotePrefix="0" xfId="3"/>
    <xf numFmtId="0" fontId="39" fillId="0" borderId="2" pivotButton="0" quotePrefix="0" xfId="3"/>
    <xf numFmtId="165" fontId="1" fillId="11" borderId="2" pivotButton="0" quotePrefix="0" xfId="3"/>
    <xf numFmtId="165" fontId="1" fillId="14" borderId="2" pivotButton="0" quotePrefix="0" xfId="0"/>
    <xf numFmtId="0" fontId="40" fillId="14" borderId="2" pivotButton="0" quotePrefix="0" xfId="0"/>
    <xf numFmtId="0" fontId="41" fillId="15" borderId="5" applyAlignment="1" pivotButton="0" quotePrefix="0" xfId="0">
      <alignment horizontal="center" vertical="center" wrapText="1"/>
    </xf>
    <xf numFmtId="0" fontId="42" fillId="0" borderId="2" pivotButton="0" quotePrefix="0" xfId="3"/>
    <xf numFmtId="0" fontId="43" fillId="0" borderId="2" pivotButton="0" quotePrefix="0" xfId="3"/>
    <xf numFmtId="0" fontId="44" fillId="0" borderId="2" pivotButton="0" quotePrefix="0" xfId="3"/>
    <xf numFmtId="0" fontId="45" fillId="0" borderId="2" pivotButton="0" quotePrefix="0" xfId="3"/>
    <xf numFmtId="166" fontId="1" fillId="11" borderId="2" pivotButton="0" quotePrefix="0" xfId="0"/>
    <xf numFmtId="164" fontId="1" fillId="0" borderId="2" pivotButton="0" quotePrefix="0" xfId="0"/>
    <xf numFmtId="0" fontId="46" fillId="16" borderId="5" applyAlignment="1" pivotButton="0" quotePrefix="0" xfId="0">
      <alignment horizontal="center" vertical="center" wrapText="1"/>
    </xf>
    <xf numFmtId="0" fontId="47" fillId="0" borderId="2" pivotButton="0" quotePrefix="0" xfId="3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4">
    <dxf>
      <font>
        <b val="1"/>
        <color rgb="FF0AA633"/>
      </font>
    </dxf>
    <dxf>
      <font>
        <b val="1"/>
        <color rgb="FFFF0000"/>
      </font>
    </dxf>
    <dxf>
      <font>
        <b val="1"/>
        <strike val="0"/>
        <color theme="2" tint="-0.5"/>
      </font>
    </dxf>
    <dxf>
      <font>
        <b val="1"/>
        <color rgb="FF00B050"/>
      </font>
    </dxf>
    <dxf>
      <font>
        <b val="1"/>
        <color theme="2" tint="-0.499984740745262"/>
      </font>
    </dxf>
    <dxf>
      <font>
        <b val="1"/>
        <color rgb="FF009E47"/>
      </font>
    </dxf>
    <dxf>
      <font>
        <b val="1"/>
        <strike val="0"/>
        <color theme="2" tint="-0.499984740745262"/>
      </font>
    </dxf>
    <dxf>
      <font>
        <b val="1"/>
        <color theme="5" tint="-0.249946592608417"/>
      </font>
    </dxf>
    <dxf>
      <font>
        <b val="1"/>
        <color rgb="FFFFFFFF"/>
        <sz val="11"/>
      </font>
      <fill>
        <patternFill patternType="solid">
          <fgColor rgb="FFC62828"/>
          <bgColor rgb="FFC62828"/>
        </patternFill>
      </fill>
    </dxf>
    <dxf>
      <font>
        <b val="1"/>
        <color rgb="FFFFFFFF"/>
        <sz val="11"/>
      </font>
      <fill>
        <patternFill patternType="solid">
          <fgColor rgb="FF1B5E20"/>
          <bgColor rgb="FF1B5E20"/>
        </patternFill>
      </fill>
    </dxf>
    <dxf>
      <font>
        <b val="1"/>
        <color rgb="FFF57F17"/>
      </font>
      <fill>
        <patternFill patternType="solid">
          <fgColor rgb="FFFFF9C4"/>
          <bgColor rgb="FFFFF9C4"/>
        </patternFill>
      </fill>
    </dxf>
    <dxf>
      <font>
        <color rgb="FF9E9E9E"/>
      </font>
      <fill>
        <patternFill patternType="solid">
          <fgColor rgb="FFE0E0E0"/>
          <bgColor rgb="FFE0E0E0"/>
        </patternFill>
      </fill>
    </dxf>
    <dxf>
      <font>
        <b val="1"/>
        <color theme="1"/>
      </font>
    </dxf>
    <dxf>
      <font>
        <b val="1"/>
        <color theme="6" tint="-0.249946592608417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F0000"/>
      <rgbColor rgb="00FFFF00"/>
      <rgbColor rgb="000000FF"/>
      <rgbColor rgb="00FF00FF"/>
      <rgbColor rgb="00FF00FF"/>
      <rgbColor rgb="0000FFFF"/>
      <rgbColor rgb="00800000"/>
      <rgbColor rgb="00000000"/>
      <rgbColor rgb="00000080"/>
      <rgbColor rgb="000000FF"/>
      <rgbColor rgb="00800080"/>
      <rgbColor rgb="00FF0000"/>
      <rgbColor rgb="00C0C0C0"/>
      <rgbColor rgb="00FFFF00"/>
      <rgbColor rgb="009999FF"/>
      <rgbColor rgb="000000FF"/>
      <rgbColor rgb="00FFFFCC"/>
      <rgbColor rgb="00FF00FF"/>
      <rgbColor rgb="00660066"/>
      <rgbColor rgb="00FF00FF"/>
      <rgbColor rgb="000066CC"/>
      <rgbColor rgb="0000FFFF"/>
      <rgbColor rgb="00000080"/>
      <rgbColor rgb="00800000"/>
      <rgbColor rgb="00FFFF00"/>
      <rgbColor rgb="00000000"/>
      <rgbColor rgb="00800080"/>
      <rgbColor rgb="00000080"/>
      <rgbColor rgb="00008080"/>
      <rgbColor rgb="000000FF"/>
      <rgbColor rgb="0000CCFF"/>
      <rgbColor rgb="00800080"/>
      <rgbColor rgb="00CCFFCC"/>
      <rgbColor rgb="00FF0000"/>
      <rgbColor rgb="0099CCFF"/>
      <rgbColor rgb="00C0C0C0"/>
      <rgbColor rgb="00CC99FF"/>
      <rgbColor rgb="00FFFF00"/>
      <rgbColor rgb="003366FF"/>
      <rgbColor rgb="009999FF"/>
      <rgbColor rgb="0099CC00"/>
      <rgbColor rgb="000000FF"/>
      <rgbColor rgb="00FF9900"/>
      <rgbColor rgb="00FFFFCC"/>
      <rgbColor rgb="00666699"/>
      <rgbColor rgb="00FF00FF"/>
      <rgbColor rgb="00003366"/>
      <rgbColor rgb="00660066"/>
      <rgbColor rgb="00003300"/>
      <rgbColor rgb="00FF00FF"/>
      <rgbColor rgb="00993300"/>
      <rgbColor rgb="000066CC"/>
      <rgbColor rgb="00333399"/>
      <rgbColor rgb="0000FF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MICK</author>
  </authors>
  <commentList>
    <comment ref="I1" authorId="0" shapeId="0">
      <text>
        <t>历史跌幅+当天跌幅</t>
      </text>
    </comment>
    <comment ref="J1" authorId="0" shapeId="0">
      <text>
        <t>总跌幅达到0-19%，则补仓倍数1
总跌幅达到20-39%，则补仓倍数2
总跌幅达到40-59%，则补仓倍数4
总跌幅达到60-79%，则补仓倍数8
总跌幅达到80-99%，则补仓倍数16</t>
      </text>
    </comment>
    <comment ref="K1" authorId="0" shapeId="0">
      <text>
        <t>最低为10，场外基金补仓最小金额为10元，可根据自身资金量调节</t>
      </text>
    </comment>
    <comment ref="L1" authorId="0" shapeId="0">
      <text>
        <t>基础单价*补仓倍数</t>
      </text>
    </comment>
    <comment ref="M1" authorId="0" shapeId="0">
      <text>
        <t>最终补仓单价*近期总跌幅换算出的加仓份数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O29"/>
  <sheetViews>
    <sheetView workbookViewId="0">
      <selection activeCell="K49" sqref="K49"/>
    </sheetView>
  </sheetViews>
  <sheetFormatPr baseColWidth="8" defaultColWidth="9" defaultRowHeight="14.25"/>
  <cols>
    <col width="19.125" customWidth="1" min="1" max="1"/>
    <col width="7.375" customWidth="1" style="64" min="2" max="2"/>
    <col width="32.775" customWidth="1" min="3" max="3"/>
    <col width="16.25" customWidth="1" min="4" max="4"/>
    <col width="9.75" customWidth="1" min="5" max="5"/>
    <col width="10.875" customWidth="1" min="6" max="7"/>
    <col width="10.8833333333333" customWidth="1" min="8" max="8"/>
    <col width="8.875" customWidth="1" min="10" max="10"/>
    <col width="12.875" customWidth="1" min="12" max="12"/>
    <col width="12.125" customWidth="1" min="13" max="13"/>
    <col width="8.875" customWidth="1" min="14" max="14"/>
    <col width="5.125" customWidth="1" min="15" max="15"/>
  </cols>
  <sheetData>
    <row r="1">
      <c r="A1" s="6" t="inlineStr">
        <is>
          <t>类型</t>
        </is>
      </c>
      <c r="B1" s="65" t="inlineStr">
        <is>
          <t>代码</t>
        </is>
      </c>
      <c r="C1" s="6" t="inlineStr">
        <is>
          <t>基金名称</t>
        </is>
      </c>
      <c r="D1" s="6" t="inlineStr">
        <is>
          <t>上次买入锚点净值</t>
        </is>
      </c>
      <c r="E1" s="6" t="inlineStr">
        <is>
          <t>最新净值</t>
        </is>
      </c>
      <c r="F1" s="6" t="inlineStr">
        <is>
          <t>近期涨跌幅</t>
        </is>
      </c>
      <c r="G1" s="6" t="inlineStr">
        <is>
          <t>当日涨跌幅</t>
        </is>
      </c>
      <c r="H1" s="6" t="inlineStr">
        <is>
          <t>最终涨跌幅</t>
        </is>
      </c>
      <c r="I1" s="6" t="inlineStr">
        <is>
          <t>加仓份数</t>
        </is>
      </c>
      <c r="J1" s="6" t="inlineStr">
        <is>
          <t>基础单价</t>
        </is>
      </c>
      <c r="K1" s="6" t="inlineStr">
        <is>
          <t>补仓金额</t>
        </is>
      </c>
      <c r="L1" s="6" t="inlineStr">
        <is>
          <t>最近底谷日期</t>
        </is>
      </c>
      <c r="M1" s="6" t="inlineStr">
        <is>
          <t>最近底谷净值</t>
        </is>
      </c>
      <c r="N1" s="6" t="inlineStr">
        <is>
          <t>上涨幅度</t>
        </is>
      </c>
      <c r="O1" s="6" t="inlineStr">
        <is>
          <t>分组</t>
        </is>
      </c>
    </row>
    <row r="2">
      <c r="A2" s="28">
        <f>IF(场外2.0金字塔补仓!A2&lt;&gt;"",场外2.0金字塔补仓!A2,"")</f>
        <v/>
      </c>
      <c r="B2" s="29">
        <f>IF(场外2.0金字塔补仓!B2&lt;&gt;"",场外2.0金字塔补仓!B2,"")</f>
        <v/>
      </c>
      <c r="C2" s="17">
        <f>IF(场外2.0金字塔补仓!C2&lt;&gt;"",场外2.0金字塔补仓!C2,"")</f>
        <v/>
      </c>
      <c r="D2" s="66" t="n">
        <v>3.8354</v>
      </c>
      <c r="E2" s="66" t="n">
        <v>3.1509</v>
      </c>
      <c r="F2" s="67">
        <f>(E2-D2)/D2</f>
        <v/>
      </c>
      <c r="G2" s="68" t="n">
        <v>0.0011</v>
      </c>
      <c r="H2" s="69">
        <f>F2+G2</f>
        <v/>
      </c>
      <c r="I2" s="70">
        <f>IF(H2&lt;0,INT(-H2*100),"0")</f>
        <v/>
      </c>
      <c r="J2" s="8" t="n">
        <v>100</v>
      </c>
      <c r="K2" s="8">
        <f>J2*I2</f>
        <v/>
      </c>
      <c r="L2" s="41" t="inlineStr">
        <is>
          <t>2026-07-01</t>
        </is>
      </c>
      <c r="M2" s="47" t="n">
        <v>3.1391</v>
      </c>
      <c r="N2" s="43">
        <f>((E2-M2)/M2)+G2</f>
        <v/>
      </c>
      <c r="O2" s="47" t="inlineStr">
        <is>
          <t>持有</t>
        </is>
      </c>
    </row>
    <row r="3">
      <c r="A3" s="28">
        <f>IF(场外2.0金字塔补仓!A3&lt;&gt;"",场外2.0金字塔补仓!A3,"")</f>
        <v/>
      </c>
      <c r="B3" s="29">
        <f>IF(场外2.0金字塔补仓!B3&lt;&gt;"",场外2.0金字塔补仓!B3,"")</f>
        <v/>
      </c>
      <c r="C3" s="17">
        <f>IF(场外2.0金字塔补仓!C3&lt;&gt;"",场外2.0金字塔补仓!C3,"")</f>
        <v/>
      </c>
      <c r="D3" s="66" t="n">
        <v>1.2318</v>
      </c>
      <c r="E3" s="66" t="n">
        <v>1.2318</v>
      </c>
      <c r="F3" s="67">
        <f>(E3-D3)/D3</f>
        <v/>
      </c>
      <c r="G3" s="68" t="n">
        <v>-0.06320000000000001</v>
      </c>
      <c r="H3" s="69">
        <f>F3+G3</f>
        <v/>
      </c>
      <c r="I3" s="70">
        <f>IF(H3&lt;0,INT(-H3*100),"0")</f>
        <v/>
      </c>
      <c r="J3" s="8" t="n">
        <v>100</v>
      </c>
      <c r="K3" s="8">
        <f>J3*I3</f>
        <v/>
      </c>
      <c r="L3" s="41" t="inlineStr">
        <is>
          <t>2026-07-17</t>
        </is>
      </c>
      <c r="M3" s="47" t="n">
        <v>1.2318</v>
      </c>
      <c r="N3" s="43">
        <f>((E3-M3)/M3)+G3</f>
        <v/>
      </c>
      <c r="O3" s="47" t="inlineStr">
        <is>
          <t>持有</t>
        </is>
      </c>
    </row>
    <row r="4">
      <c r="A4" s="28">
        <f>IF(场外2.0金字塔补仓!A4&lt;&gt;"",场外2.0金字塔补仓!A4,"")</f>
        <v/>
      </c>
      <c r="B4" s="72">
        <f>IF(场外2.0金字塔补仓!B4&lt;&gt;"",场外2.0金字塔补仓!B4,"")</f>
        <v/>
      </c>
      <c r="C4" s="17">
        <f>IF(场外2.0金字塔补仓!C4&lt;&gt;"",场外2.0金字塔补仓!C4,"")</f>
        <v/>
      </c>
      <c r="D4" s="66" t="n">
        <v>1.2998</v>
      </c>
      <c r="E4" s="66" t="n">
        <v>1.2998</v>
      </c>
      <c r="F4" s="67">
        <f>(E4-D4)/D4</f>
        <v/>
      </c>
      <c r="G4" s="68" t="n">
        <v>-0.0526</v>
      </c>
      <c r="H4" s="69">
        <f>F4+G4</f>
        <v/>
      </c>
      <c r="I4" s="70">
        <f>IF(H4&lt;0,INT(-H4*100),"0")</f>
        <v/>
      </c>
      <c r="J4" s="8" t="n">
        <v>100</v>
      </c>
      <c r="K4" s="8">
        <f>J4*I4</f>
        <v/>
      </c>
      <c r="L4" s="41" t="inlineStr">
        <is>
          <t>2026-07-17</t>
        </is>
      </c>
      <c r="M4" s="47" t="n">
        <v>1.2998</v>
      </c>
      <c r="N4" s="43">
        <f>((E4-M4)/M4)+G4</f>
        <v/>
      </c>
      <c r="O4" s="47" t="inlineStr">
        <is>
          <t>持有</t>
        </is>
      </c>
    </row>
    <row r="5">
      <c r="A5" s="28">
        <f>IF(场外2.0金字塔补仓!A5&lt;&gt;"",场外2.0金字塔补仓!A5,"")</f>
        <v/>
      </c>
      <c r="B5" s="29">
        <f>IF(场外2.0金字塔补仓!B5&lt;&gt;"",场外2.0金字塔补仓!B5,"")</f>
        <v/>
      </c>
      <c r="C5" s="17">
        <f>IF(场外2.0金字塔补仓!C5&lt;&gt;"",场外2.0金字塔补仓!C5,"")</f>
        <v/>
      </c>
      <c r="D5" s="66" t="n">
        <v>2.378</v>
      </c>
      <c r="E5" s="66" t="n">
        <v>1.962</v>
      </c>
      <c r="F5" s="67">
        <f>(E5-D5)/D5</f>
        <v/>
      </c>
      <c r="G5" s="68" t="n">
        <v>-0.0319</v>
      </c>
      <c r="H5" s="69">
        <f>F5+G5</f>
        <v/>
      </c>
      <c r="I5" s="70">
        <f>IF(H5&lt;0,INT(-H5*100),"0")</f>
        <v/>
      </c>
      <c r="J5" s="8" t="n">
        <v>100</v>
      </c>
      <c r="K5" s="8">
        <f>J5*I5</f>
        <v/>
      </c>
      <c r="L5" s="41" t="inlineStr">
        <is>
          <t>2026-07-17</t>
        </is>
      </c>
      <c r="M5" s="47" t="n">
        <v>1.962</v>
      </c>
      <c r="N5" s="43">
        <f>((E5-M5)/M5)+G5</f>
        <v/>
      </c>
      <c r="O5" s="47" t="inlineStr">
        <is>
          <t>持有</t>
        </is>
      </c>
    </row>
    <row r="6">
      <c r="A6" s="28">
        <f>IF(场外2.0金字塔补仓!A6&lt;&gt;"",场外2.0金字塔补仓!A6,"")</f>
        <v/>
      </c>
      <c r="B6" s="72">
        <f>IF(场外2.0金字塔补仓!B6&lt;&gt;"",场外2.0金字塔补仓!B6,"")</f>
        <v/>
      </c>
      <c r="C6" s="17">
        <f>IF(场外2.0金字塔补仓!C6&lt;&gt;"",场外2.0金字塔补仓!C6,"")</f>
        <v/>
      </c>
      <c r="D6" s="66" t="n">
        <v>0.8075</v>
      </c>
      <c r="E6" s="66" t="n">
        <v>0.784</v>
      </c>
      <c r="F6" s="67">
        <f>(E6-D6)/D6</f>
        <v/>
      </c>
      <c r="G6" s="68" t="n">
        <v>0.0054</v>
      </c>
      <c r="H6" s="69">
        <f>F6+G6</f>
        <v/>
      </c>
      <c r="I6" s="70">
        <f>IF(H6&lt;0,INT(-H6*100),"0")</f>
        <v/>
      </c>
      <c r="J6" s="8" t="n">
        <v>100</v>
      </c>
      <c r="K6" s="8">
        <f>J6*I6</f>
        <v/>
      </c>
      <c r="L6" s="41" t="inlineStr">
        <is>
          <t>2026-07-17</t>
        </is>
      </c>
      <c r="M6" s="47" t="n">
        <v>0.784</v>
      </c>
      <c r="N6" s="43">
        <f>((E6-M6)/M6)+G6</f>
        <v/>
      </c>
      <c r="O6" s="47" t="inlineStr">
        <is>
          <t>持有</t>
        </is>
      </c>
    </row>
    <row r="7">
      <c r="A7" s="28">
        <f>IF(场外2.0金字塔补仓!A7&lt;&gt;"",场外2.0金字塔补仓!A7,"")</f>
        <v/>
      </c>
      <c r="B7" s="29">
        <f>IF(场外2.0金字塔补仓!B7&lt;&gt;"",场外2.0金字塔补仓!B7,"")</f>
        <v/>
      </c>
      <c r="C7" s="17">
        <f>IF(场外2.0金字塔补仓!C7&lt;&gt;"",场外2.0金字塔补仓!C7,"")</f>
        <v/>
      </c>
      <c r="D7" s="66" t="n">
        <v>1.2217</v>
      </c>
      <c r="E7" s="66" t="n">
        <v>1.1008</v>
      </c>
      <c r="F7" s="67">
        <f>(E7-D7)/D7</f>
        <v/>
      </c>
      <c r="G7" s="68" t="n">
        <v>0.017</v>
      </c>
      <c r="H7" s="69">
        <f>F7+G7</f>
        <v/>
      </c>
      <c r="I7" s="70">
        <f>IF(H7&lt;0,INT(-H7*100),"0")</f>
        <v/>
      </c>
      <c r="J7" s="8" t="n">
        <v>100</v>
      </c>
      <c r="K7" s="8">
        <f>J7*I7</f>
        <v/>
      </c>
      <c r="L7" s="41" t="inlineStr">
        <is>
          <t>2026-06-09</t>
        </is>
      </c>
      <c r="M7" s="47" t="n">
        <v>0.9073</v>
      </c>
      <c r="N7" s="43">
        <f>((E7-M7)/M7)+G7</f>
        <v/>
      </c>
      <c r="O7" s="47" t="inlineStr">
        <is>
          <t>持有</t>
        </is>
      </c>
    </row>
    <row r="8">
      <c r="A8" s="28">
        <f>IF(场外2.0金字塔补仓!A8&lt;&gt;"",场外2.0金字塔补仓!A8,"")</f>
        <v/>
      </c>
      <c r="B8" s="29">
        <f>IF(场外2.0金字塔补仓!B8&lt;&gt;"",场外2.0金字塔补仓!B8,"")</f>
        <v/>
      </c>
      <c r="C8" s="17">
        <f>IF(场外2.0金字塔补仓!C8&lt;&gt;"",场外2.0金字塔补仓!C8,"")</f>
        <v/>
      </c>
      <c r="D8" s="66" t="n">
        <v>1.3423</v>
      </c>
      <c r="E8" s="66" t="n">
        <v>1.3206</v>
      </c>
      <c r="F8" s="67">
        <f>(E8-D8)/D8</f>
        <v/>
      </c>
      <c r="G8" s="68" t="n">
        <v>0.0101</v>
      </c>
      <c r="H8" s="69">
        <f>F8+G8</f>
        <v/>
      </c>
      <c r="I8" s="70">
        <f>IF(H8&lt;0,INT(-H8*100),"0")</f>
        <v/>
      </c>
      <c r="J8" s="8" t="n">
        <v>100</v>
      </c>
      <c r="K8" s="8">
        <f>J8*I8</f>
        <v/>
      </c>
      <c r="L8" s="41" t="inlineStr">
        <is>
          <t>2026-06-26</t>
        </is>
      </c>
      <c r="M8" s="47" t="n">
        <v>1.2482</v>
      </c>
      <c r="N8" s="43">
        <f>((E8-M8)/M8)+G8</f>
        <v/>
      </c>
      <c r="O8" s="47" t="inlineStr">
        <is>
          <t>持有</t>
        </is>
      </c>
    </row>
    <row r="9">
      <c r="A9" s="28">
        <f>IF(场外2.0金字塔补仓!A9&lt;&gt;"",场外2.0金字塔补仓!A9,"")</f>
        <v/>
      </c>
      <c r="B9" s="29">
        <f>IF(场外2.0金字塔补仓!B9&lt;&gt;"",场外2.0金字塔补仓!B9,"")</f>
        <v/>
      </c>
      <c r="C9" s="17">
        <f>IF(场外2.0金字塔补仓!C9&lt;&gt;"",场外2.0金字塔补仓!C9,"")</f>
        <v/>
      </c>
      <c r="D9" s="66" t="n">
        <v>2.1116</v>
      </c>
      <c r="E9" s="66" t="n">
        <v>1.926</v>
      </c>
      <c r="F9" s="67">
        <f>(E9-D9)/D9</f>
        <v/>
      </c>
      <c r="G9" s="68" t="n">
        <v>0.0242</v>
      </c>
      <c r="H9" s="69">
        <f>F9+G9</f>
        <v/>
      </c>
      <c r="I9" s="70">
        <f>IF(H9&lt;0,INT(-H9*100),"0")</f>
        <v/>
      </c>
      <c r="J9" s="8" t="n">
        <v>100</v>
      </c>
      <c r="K9" s="8">
        <f>J9*I9</f>
        <v/>
      </c>
      <c r="L9" s="41" t="inlineStr">
        <is>
          <t>2026-06-08</t>
        </is>
      </c>
      <c r="M9" s="47" t="n">
        <v>1.4955</v>
      </c>
      <c r="N9" s="43">
        <f>((E9-M9)/M9)+G9</f>
        <v/>
      </c>
      <c r="O9" s="47" t="inlineStr">
        <is>
          <t>持有</t>
        </is>
      </c>
    </row>
    <row r="10">
      <c r="A10" s="28">
        <f>IF(场外2.0金字塔补仓!A10&lt;&gt;"",场外2.0金字塔补仓!A10,"")</f>
        <v/>
      </c>
      <c r="B10" s="29">
        <f>IF(场外2.0金字塔补仓!B10&lt;&gt;"",场外2.0金字塔补仓!B10,"")</f>
        <v/>
      </c>
      <c r="C10" s="17">
        <f>IF(场外2.0金字塔补仓!C10&lt;&gt;"",场外2.0金字塔补仓!C10,"")</f>
        <v/>
      </c>
      <c r="D10" s="73" t="n">
        <v>0.6855</v>
      </c>
      <c r="E10" s="66" t="n">
        <v>0.6855</v>
      </c>
      <c r="F10" s="67">
        <f>(E10-D10)/D10</f>
        <v/>
      </c>
      <c r="G10" s="68" t="n">
        <v>-0.0286</v>
      </c>
      <c r="H10" s="69">
        <f>F10+G10</f>
        <v/>
      </c>
      <c r="I10" s="70">
        <f>IF(H10&lt;0,INT(-H10*100),"0")</f>
        <v/>
      </c>
      <c r="J10" s="8" t="n">
        <v>100</v>
      </c>
      <c r="K10" s="8">
        <f>J10*I10</f>
        <v/>
      </c>
      <c r="L10" s="41" t="inlineStr">
        <is>
          <t>2026-07-17</t>
        </is>
      </c>
      <c r="M10" s="47" t="n">
        <v>0.6855</v>
      </c>
      <c r="N10" s="43">
        <f>((E10-M10)/M10)+G10</f>
        <v/>
      </c>
      <c r="O10" s="47" t="inlineStr">
        <is>
          <t>持有</t>
        </is>
      </c>
    </row>
    <row r="11">
      <c r="A11" s="28">
        <f>IF(场外2.0金字塔补仓!A11&lt;&gt;"",场外2.0金字塔补仓!A11,"")</f>
        <v/>
      </c>
      <c r="B11" s="72">
        <f>IF(场外2.0金字塔补仓!B11&lt;&gt;"",场外2.0金字塔补仓!B11,"")</f>
        <v/>
      </c>
      <c r="C11" s="17">
        <f>IF(场外2.0金字塔补仓!C11&lt;&gt;"",场外2.0金字塔补仓!C11,"")</f>
        <v/>
      </c>
      <c r="D11" s="73" t="n">
        <v>2.2606</v>
      </c>
      <c r="E11" s="66" t="n">
        <v>2.2606</v>
      </c>
      <c r="F11" s="67">
        <f>(E11-D11)/D11</f>
        <v/>
      </c>
      <c r="G11" s="68" t="n">
        <v>-0.0337</v>
      </c>
      <c r="H11" s="69">
        <f>F11+G11</f>
        <v/>
      </c>
      <c r="I11" s="70">
        <f>IF(H11&lt;0,INT(-H11*100),"0")</f>
        <v/>
      </c>
      <c r="J11" s="8" t="n">
        <v>100</v>
      </c>
      <c r="K11" s="8">
        <f>J11*I11</f>
        <v/>
      </c>
      <c r="L11" s="41" t="inlineStr">
        <is>
          <t>2026-07-17</t>
        </is>
      </c>
      <c r="M11" s="47" t="n">
        <v>2.2606</v>
      </c>
      <c r="N11" s="43">
        <f>((E11-M11)/M11)+G11</f>
        <v/>
      </c>
      <c r="O11" s="47" t="inlineStr">
        <is>
          <t>持有</t>
        </is>
      </c>
    </row>
    <row r="12">
      <c r="A12" s="28">
        <f>IF(场外2.0金字塔补仓!A12&lt;&gt;"",场外2.0金字塔补仓!A12,"")</f>
        <v/>
      </c>
      <c r="B12" s="29">
        <f>IF(场外2.0金字塔补仓!B12&lt;&gt;"",场外2.0金字塔补仓!B12,"")</f>
        <v/>
      </c>
      <c r="C12" s="17">
        <f>IF(场外2.0金字塔补仓!C12&lt;&gt;"",场外2.0金字塔补仓!C12,"")</f>
        <v/>
      </c>
      <c r="D12" s="73" t="n">
        <v>0.7237</v>
      </c>
      <c r="E12" s="66" t="n">
        <v>0.7114</v>
      </c>
      <c r="F12" s="67">
        <f>(E12-D12)/D12</f>
        <v/>
      </c>
      <c r="G12" s="68" t="n">
        <v>0.0077</v>
      </c>
      <c r="H12" s="69">
        <f>F12+G12</f>
        <v/>
      </c>
      <c r="I12" s="70">
        <f>IF(H12&lt;0,INT(-H12*100),"0")</f>
        <v/>
      </c>
      <c r="J12" s="8" t="n">
        <v>100</v>
      </c>
      <c r="K12" s="8">
        <f>J12*I12</f>
        <v/>
      </c>
      <c r="L12" s="41" t="inlineStr">
        <is>
          <t>2026-06-26</t>
        </is>
      </c>
      <c r="M12" s="47" t="n">
        <v>0.6665</v>
      </c>
      <c r="N12" s="43">
        <f>((E12-M12)/M12)+G12</f>
        <v/>
      </c>
      <c r="O12" s="47" t="inlineStr">
        <is>
          <t>持有</t>
        </is>
      </c>
    </row>
    <row r="13">
      <c r="A13" s="28">
        <f>IF(场外2.0金字塔补仓!A13&lt;&gt;"",场外2.0金字塔补仓!A13,"")</f>
        <v/>
      </c>
      <c r="B13" s="29">
        <f>IF(场外2.0金字塔补仓!B13&lt;&gt;"",场外2.0金字塔补仓!B13,"")</f>
        <v/>
      </c>
      <c r="C13" s="17">
        <f>IF(场外2.0金字塔补仓!C13&lt;&gt;"",场外2.0金字塔补仓!C13,"")</f>
        <v/>
      </c>
      <c r="D13" s="73" t="n">
        <v>1.0946</v>
      </c>
      <c r="E13" s="66" t="n">
        <v>1.0946</v>
      </c>
      <c r="F13" s="67">
        <f>(E13-D13)/D13</f>
        <v/>
      </c>
      <c r="G13" s="68" t="n">
        <v>-0.0184</v>
      </c>
      <c r="H13" s="69">
        <f>F13+G13</f>
        <v/>
      </c>
      <c r="I13" s="70">
        <f>IF(H13&lt;0,INT(-H13*100),"0")</f>
        <v/>
      </c>
      <c r="J13" s="8" t="n">
        <v>100</v>
      </c>
      <c r="K13" s="8">
        <f>J13*I13</f>
        <v/>
      </c>
      <c r="L13" s="41" t="inlineStr">
        <is>
          <t>2026-07-17</t>
        </is>
      </c>
      <c r="M13" s="47" t="n">
        <v>1.0946</v>
      </c>
      <c r="N13" s="43">
        <f>((E13-M13)/M13)+G13</f>
        <v/>
      </c>
      <c r="O13" s="47" t="inlineStr">
        <is>
          <t>持有</t>
        </is>
      </c>
    </row>
    <row r="14">
      <c r="A14" s="28">
        <f>IF(场外2.0金字塔补仓!A14&lt;&gt;"",场外2.0金字塔补仓!A14,"")</f>
        <v/>
      </c>
      <c r="B14" s="29">
        <f>IF(场外2.0金字塔补仓!B14&lt;&gt;"",场外2.0金字塔补仓!B14,"")</f>
        <v/>
      </c>
      <c r="C14" s="17">
        <f>IF(场外2.0金字塔补仓!C14&lt;&gt;"",场外2.0金字塔补仓!C14,"")</f>
        <v/>
      </c>
      <c r="D14" s="66" t="n">
        <v>1.6308</v>
      </c>
      <c r="E14" s="66" t="n">
        <v>1.6308</v>
      </c>
      <c r="F14" s="67">
        <f>(E14-D14)/D14</f>
        <v/>
      </c>
      <c r="G14" s="68" t="n">
        <v>-0.0147</v>
      </c>
      <c r="H14" s="69">
        <f>F14+G14</f>
        <v/>
      </c>
      <c r="I14" s="70">
        <f>IF(H14&lt;0,INT(-H14*100),"0")</f>
        <v/>
      </c>
      <c r="J14" s="8" t="n">
        <v>100</v>
      </c>
      <c r="K14" s="8">
        <f>J14*I14</f>
        <v/>
      </c>
      <c r="L14" s="41" t="inlineStr">
        <is>
          <t>2026-07-17</t>
        </is>
      </c>
      <c r="M14" s="47" t="n">
        <v>1.6308</v>
      </c>
      <c r="N14" s="43">
        <f>((E14-M14)/M14)+G14</f>
        <v/>
      </c>
      <c r="O14" s="47" t="inlineStr">
        <is>
          <t>持有</t>
        </is>
      </c>
    </row>
    <row r="15">
      <c r="A15" s="28">
        <f>IF(场外2.0金字塔补仓!A15&lt;&gt;"",场外2.0金字塔补仓!A15,"")</f>
        <v/>
      </c>
      <c r="B15" s="72">
        <f>IF(场外2.0金字塔补仓!B15&lt;&gt;"",场外2.0金字塔补仓!B15,"")</f>
        <v/>
      </c>
      <c r="C15" s="17">
        <f>IF(场外2.0金字塔补仓!C15&lt;&gt;"",场外2.0金字塔补仓!C15,"")</f>
        <v/>
      </c>
      <c r="D15" s="73" t="n">
        <v>2.8703</v>
      </c>
      <c r="E15" s="66" t="n">
        <v>2.1202</v>
      </c>
      <c r="F15" s="67">
        <f>(E15-D15)/D15</f>
        <v/>
      </c>
      <c r="G15" s="68" t="n">
        <v>-0.0508</v>
      </c>
      <c r="H15" s="69">
        <f>F15+G15</f>
        <v/>
      </c>
      <c r="I15" s="70">
        <f>IF(H15&lt;0,INT(-H15*100),"0")</f>
        <v/>
      </c>
      <c r="J15" s="8" t="n">
        <v>100</v>
      </c>
      <c r="K15" s="8">
        <f>J15*I15</f>
        <v/>
      </c>
      <c r="L15" s="41" t="inlineStr">
        <is>
          <t>2026-07-17</t>
        </is>
      </c>
      <c r="M15" s="47" t="n">
        <v>2.1202</v>
      </c>
      <c r="N15" s="43">
        <f>((E15-M15)/M15)+G15</f>
        <v/>
      </c>
      <c r="O15" s="47" t="inlineStr">
        <is>
          <t>关注</t>
        </is>
      </c>
    </row>
    <row r="16">
      <c r="A16" s="28">
        <f>IF(场外2.0金字塔补仓!A16&lt;&gt;"",场外2.0金字塔补仓!A16,"")</f>
        <v/>
      </c>
      <c r="B16" s="72">
        <f>IF(场外2.0金字塔补仓!B16&lt;&gt;"",场外2.0金字塔补仓!B16,"")</f>
        <v/>
      </c>
      <c r="C16" s="17">
        <f>IF(场外2.0金字塔补仓!C16&lt;&gt;"",场外2.0金字塔补仓!C16,"")</f>
        <v/>
      </c>
      <c r="D16" s="66" t="n">
        <v>1.4532</v>
      </c>
      <c r="E16" s="66" t="n">
        <v>1.1773</v>
      </c>
      <c r="F16" s="67">
        <f>(E16-D16)/D16</f>
        <v/>
      </c>
      <c r="G16" s="68" t="n">
        <v>-0.0511</v>
      </c>
      <c r="H16" s="69">
        <f>F16+G16</f>
        <v/>
      </c>
      <c r="I16" s="70">
        <f>IF(H16&lt;0,INT(-H16*100),"0")</f>
        <v/>
      </c>
      <c r="J16" s="8" t="n">
        <v>100</v>
      </c>
      <c r="K16" s="8">
        <f>J16*I16</f>
        <v/>
      </c>
      <c r="L16" s="41" t="inlineStr">
        <is>
          <t>2026-07-17</t>
        </is>
      </c>
      <c r="M16" s="47" t="n">
        <v>1.1773</v>
      </c>
      <c r="N16" s="43">
        <f>((E16-M16)/M16)+G16</f>
        <v/>
      </c>
      <c r="O16" s="47" t="inlineStr">
        <is>
          <t>关注</t>
        </is>
      </c>
    </row>
    <row r="17">
      <c r="A17" s="28">
        <f>IF(场外2.0金字塔补仓!A17&lt;&gt;"",场外2.0金字塔补仓!A17,"")</f>
        <v/>
      </c>
      <c r="B17" s="29">
        <f>IF(场外2.0金字塔补仓!B17&lt;&gt;"",场外2.0金字塔补仓!B17,"")</f>
        <v/>
      </c>
      <c r="C17" s="17">
        <f>IF(场外2.0金字塔补仓!C17&lt;&gt;"",场外2.0金字塔补仓!C17,"")</f>
        <v/>
      </c>
      <c r="D17" s="73" t="n">
        <v>2.7582</v>
      </c>
      <c r="E17" s="66" t="n">
        <v>2.2797</v>
      </c>
      <c r="F17" s="67">
        <f>(E17-D17)/D17</f>
        <v/>
      </c>
      <c r="G17" s="68" t="n">
        <v>-0.0308</v>
      </c>
      <c r="H17" s="69">
        <f>F17+G17</f>
        <v/>
      </c>
      <c r="I17" s="70">
        <f>IF(H17&lt;0,INT(-H17*100),"0")</f>
        <v/>
      </c>
      <c r="J17" s="8" t="n">
        <v>100</v>
      </c>
      <c r="K17" s="8">
        <f>J17*I17</f>
        <v/>
      </c>
      <c r="L17" s="41" t="inlineStr">
        <is>
          <t>2026-07-17</t>
        </is>
      </c>
      <c r="M17" s="47" t="n">
        <v>2.2797</v>
      </c>
      <c r="N17" s="43">
        <f>((E17-M17)/M17)+G17</f>
        <v/>
      </c>
      <c r="O17" s="47" t="inlineStr">
        <is>
          <t>关注</t>
        </is>
      </c>
    </row>
    <row r="18">
      <c r="A18" s="28">
        <f>IF(场外2.0金字塔补仓!A18&lt;&gt;"",场外2.0金字塔补仓!A18,"")</f>
        <v/>
      </c>
      <c r="B18" s="72">
        <f>IF(场外2.0金字塔补仓!B18&lt;&gt;"",场外2.0金字塔补仓!B18,"")</f>
        <v/>
      </c>
      <c r="C18" s="17">
        <f>IF(场外2.0金字塔补仓!C18&lt;&gt;"",场外2.0金字塔补仓!C18,"")</f>
        <v/>
      </c>
      <c r="D18" s="73" t="n">
        <v>0.9284</v>
      </c>
      <c r="E18" s="66" t="n">
        <v>0.752</v>
      </c>
      <c r="F18" s="67">
        <f>(E18-D18)/D18</f>
        <v/>
      </c>
      <c r="G18" s="68" t="n">
        <v>0.002</v>
      </c>
      <c r="H18" s="69">
        <f>F18+G18</f>
        <v/>
      </c>
      <c r="I18" s="70">
        <f>IF(H18&lt;0,INT(-H18*100),"0")</f>
        <v/>
      </c>
      <c r="J18" s="8" t="n">
        <v>100</v>
      </c>
      <c r="K18" s="8">
        <f>J18*I18</f>
        <v/>
      </c>
      <c r="L18" s="41" t="inlineStr">
        <is>
          <t>2026-06-25</t>
        </is>
      </c>
      <c r="M18" s="47" t="n">
        <v>0.6829</v>
      </c>
      <c r="N18" s="43">
        <f>((E18-M18)/M18)+G18</f>
        <v/>
      </c>
      <c r="O18" s="47" t="inlineStr">
        <is>
          <t>关注</t>
        </is>
      </c>
    </row>
    <row r="19">
      <c r="A19" s="28">
        <f>IF(场外2.0金字塔补仓!A19&lt;&gt;"",场外2.0金字塔补仓!A19,"")</f>
        <v/>
      </c>
      <c r="B19" s="29">
        <f>IF(场外2.0金字塔补仓!B19&lt;&gt;"",场外2.0金字塔补仓!B19,"")</f>
        <v/>
      </c>
      <c r="C19" s="17">
        <f>IF(场外2.0金字塔补仓!C19&lt;&gt;"",场外2.0金字塔补仓!C19,"")</f>
        <v/>
      </c>
      <c r="D19" s="73" t="n">
        <v>1.787</v>
      </c>
      <c r="E19" s="66" t="n">
        <v>1.5343</v>
      </c>
      <c r="F19" s="67">
        <f>(E19-D19)/D19</f>
        <v/>
      </c>
      <c r="G19" s="68" t="n">
        <v>0.0126</v>
      </c>
      <c r="H19" s="69">
        <f>F19+G19</f>
        <v/>
      </c>
      <c r="I19" s="70">
        <f>IF(H19&lt;0,INT(-H19*100),"0")</f>
        <v/>
      </c>
      <c r="J19" s="8" t="n">
        <v>100</v>
      </c>
      <c r="K19" s="8">
        <f>J19*I19</f>
        <v/>
      </c>
      <c r="L19" s="41" t="inlineStr">
        <is>
          <t>2026-07-17</t>
        </is>
      </c>
      <c r="M19" s="47" t="n">
        <v>1.5343</v>
      </c>
      <c r="N19" s="43">
        <f>((E19-M19)/M19)+G19</f>
        <v/>
      </c>
      <c r="O19" s="47" t="inlineStr">
        <is>
          <t>关注</t>
        </is>
      </c>
    </row>
    <row r="20">
      <c r="A20" s="28">
        <f>IF(场外2.0金字塔补仓!A20&lt;&gt;"",场外2.0金字塔补仓!A20,"")</f>
        <v/>
      </c>
      <c r="B20" s="29">
        <f>IF(场外2.0金字塔补仓!B20&lt;&gt;"",场外2.0金字塔补仓!B20,"")</f>
        <v/>
      </c>
      <c r="C20" s="17">
        <f>IF(场外2.0金字塔补仓!C20&lt;&gt;"",场外2.0金字塔补仓!C20,"")</f>
        <v/>
      </c>
      <c r="D20" s="66" t="n">
        <v>1.6749</v>
      </c>
      <c r="E20" s="66" t="n">
        <v>1.3205</v>
      </c>
      <c r="F20" s="67">
        <f>(E20-D20)/D20</f>
        <v/>
      </c>
      <c r="G20" s="68" t="n">
        <v>-0.0274</v>
      </c>
      <c r="H20" s="69">
        <f>F20+G20</f>
        <v/>
      </c>
      <c r="I20" s="70">
        <f>IF(H20&lt;0,INT(-H20*100),"0")</f>
        <v/>
      </c>
      <c r="J20" s="8" t="n">
        <v>100</v>
      </c>
      <c r="K20" s="8">
        <f>J20*I20</f>
        <v/>
      </c>
      <c r="L20" s="41" t="inlineStr">
        <is>
          <t>2026-07-17</t>
        </is>
      </c>
      <c r="M20" s="47" t="n">
        <v>1.3205</v>
      </c>
      <c r="N20" s="43">
        <f>((E20-M20)/M20)+G20</f>
        <v/>
      </c>
      <c r="O20" s="47" t="inlineStr">
        <is>
          <t>关注</t>
        </is>
      </c>
    </row>
    <row r="21">
      <c r="A21" s="28">
        <f>IF(场外2.0金字塔补仓!A21&lt;&gt;"",场外2.0金字塔补仓!A21,"")</f>
        <v/>
      </c>
      <c r="B21" s="29">
        <f>IF(场外2.0金字塔补仓!B21&lt;&gt;"",场外2.0金字塔补仓!B21,"")</f>
        <v/>
      </c>
      <c r="C21" s="17">
        <f>IF(场外2.0金字塔补仓!C21&lt;&gt;"",场外2.0金字塔补仓!C21,"")</f>
        <v/>
      </c>
      <c r="D21" s="66" t="n">
        <v>2.3474</v>
      </c>
      <c r="E21" s="66" t="n">
        <v>1.859</v>
      </c>
      <c r="F21" s="67">
        <f>(E21-D21)/D21</f>
        <v/>
      </c>
      <c r="G21" s="68" t="n">
        <v>-0.0205</v>
      </c>
      <c r="H21" s="69">
        <f>F21+G21</f>
        <v/>
      </c>
      <c r="I21" s="70">
        <f>IF(H21&lt;0,INT(-H21*100),"0")</f>
        <v/>
      </c>
      <c r="J21" s="8" t="n">
        <v>100</v>
      </c>
      <c r="K21" s="8">
        <f>J21*I21</f>
        <v/>
      </c>
      <c r="L21" s="41" t="inlineStr">
        <is>
          <t>2026-07-17</t>
        </is>
      </c>
      <c r="M21" s="47" t="n">
        <v>1.859</v>
      </c>
      <c r="N21" s="43">
        <f>((E21-M21)/M21)+G21</f>
        <v/>
      </c>
      <c r="O21" s="47" t="inlineStr">
        <is>
          <t>关注</t>
        </is>
      </c>
    </row>
    <row r="22">
      <c r="A22" s="28">
        <f>IF(场外2.0金字塔补仓!A22&lt;&gt;"",场外2.0金字塔补仓!A22,"")</f>
        <v/>
      </c>
      <c r="B22" s="72">
        <f>IF(场外2.0金字塔补仓!B22&lt;&gt;"",场外2.0金字塔补仓!B22,"")</f>
        <v/>
      </c>
      <c r="C22" s="17">
        <f>IF(场外2.0金字塔补仓!C22&lt;&gt;"",场外2.0金字塔补仓!C22,"")</f>
        <v/>
      </c>
      <c r="D22" s="73" t="n">
        <v>1.282</v>
      </c>
      <c r="E22" s="66" t="n">
        <v>1.0329</v>
      </c>
      <c r="F22" s="67">
        <f>(E22-D22)/D22</f>
        <v/>
      </c>
      <c r="G22" s="68" t="n">
        <v>-0.0395</v>
      </c>
      <c r="H22" s="69">
        <f>F22+G22</f>
        <v/>
      </c>
      <c r="I22" s="70">
        <f>IF(H22&lt;0,INT(-H22*100),"0")</f>
        <v/>
      </c>
      <c r="J22" s="8" t="n">
        <v>100</v>
      </c>
      <c r="K22" s="8">
        <f>J22*I22</f>
        <v/>
      </c>
      <c r="L22" s="41" t="inlineStr">
        <is>
          <t>2026-07-17</t>
        </is>
      </c>
      <c r="M22" s="47" t="n">
        <v>1.0329</v>
      </c>
      <c r="N22" s="43">
        <f>((E22-M22)/M22)+G22</f>
        <v/>
      </c>
      <c r="O22" s="47" t="inlineStr">
        <is>
          <t>关注</t>
        </is>
      </c>
    </row>
    <row r="23">
      <c r="A23" s="28">
        <f>IF(场外2.0金字塔补仓!A23&lt;&gt;"",场外2.0金字塔补仓!A23,"")</f>
        <v/>
      </c>
      <c r="B23" s="72">
        <f>IF(场外2.0金字塔补仓!B23&lt;&gt;"",场外2.0金字塔补仓!B23,"")</f>
        <v/>
      </c>
      <c r="C23" s="17">
        <f>IF(场外2.0金字塔补仓!C23&lt;&gt;"",场外2.0金字塔补仓!C23,"")</f>
        <v/>
      </c>
      <c r="D23" s="66" t="n">
        <v>1.9364</v>
      </c>
      <c r="E23" s="66" t="n">
        <v>1.3971</v>
      </c>
      <c r="F23" s="67">
        <f>(E23-D23)/D23</f>
        <v/>
      </c>
      <c r="G23" s="68" t="n">
        <v>-0.035</v>
      </c>
      <c r="H23" s="69">
        <f>F23+G23</f>
        <v/>
      </c>
      <c r="I23" s="70">
        <f>IF(H23&lt;0,INT(-H23*100),"0")</f>
        <v/>
      </c>
      <c r="J23" s="8" t="n">
        <v>100</v>
      </c>
      <c r="K23" s="8">
        <f>J23*I23</f>
        <v/>
      </c>
      <c r="L23" s="41" t="inlineStr">
        <is>
          <t>2026-07-17</t>
        </is>
      </c>
      <c r="M23" s="47" t="n">
        <v>1.3971</v>
      </c>
      <c r="N23" s="43">
        <f>((E23-M23)/M23)+G23</f>
        <v/>
      </c>
      <c r="O23" s="47" t="inlineStr">
        <is>
          <t>关注</t>
        </is>
      </c>
    </row>
    <row r="24">
      <c r="A24" s="28">
        <f>IF(场外2.0金字塔补仓!A24&lt;&gt;"",场外2.0金字塔补仓!A24,"")</f>
        <v/>
      </c>
      <c r="B24" s="72">
        <f>IF(场外2.0金字塔补仓!B24&lt;&gt;"",场外2.0金字塔补仓!B24,"")</f>
        <v/>
      </c>
      <c r="C24" s="17">
        <f>IF(场外2.0金字塔补仓!C24&lt;&gt;"",场外2.0金字塔补仓!C24,"")</f>
        <v/>
      </c>
      <c r="D24" s="66" t="n">
        <v>2.6228</v>
      </c>
      <c r="E24" s="66" t="n">
        <v>1.9915</v>
      </c>
      <c r="F24" s="67">
        <f>(E24-D24)/D24</f>
        <v/>
      </c>
      <c r="G24" s="68" t="n">
        <v>-0.0771</v>
      </c>
      <c r="H24" s="69">
        <f>F24+G24</f>
        <v/>
      </c>
      <c r="I24" s="70">
        <f>IF(H24&lt;0,INT(-H24*100),"0")</f>
        <v/>
      </c>
      <c r="J24" s="8" t="n">
        <v>100</v>
      </c>
      <c r="K24" s="8">
        <f>J24*I24</f>
        <v/>
      </c>
      <c r="L24" s="41" t="inlineStr">
        <is>
          <t>2026-07-17</t>
        </is>
      </c>
      <c r="M24" s="47" t="n">
        <v>1.9915</v>
      </c>
      <c r="N24" s="43">
        <f>((E24-M24)/M24)+G24</f>
        <v/>
      </c>
      <c r="O24" s="47" t="inlineStr">
        <is>
          <t>关注</t>
        </is>
      </c>
    </row>
    <row r="25">
      <c r="A25" s="28">
        <f>IF(场外2.0金字塔补仓!A25&lt;&gt;"",场外2.0金字塔补仓!A25,"")</f>
        <v/>
      </c>
      <c r="B25" s="72">
        <f>IF(场外2.0金字塔补仓!B25&lt;&gt;"",场外2.0金字塔补仓!B25,"")</f>
        <v/>
      </c>
      <c r="C25" s="17">
        <f>IF(场外2.0金字塔补仓!C25&lt;&gt;"",场外2.0金字塔补仓!C25,"")</f>
        <v/>
      </c>
      <c r="D25" s="66" t="n">
        <v>0.7361</v>
      </c>
      <c r="E25" s="66" t="n">
        <v>0.7667</v>
      </c>
      <c r="F25" s="67">
        <f>(E25-D25)/D25</f>
        <v/>
      </c>
      <c r="G25" s="68" t="n">
        <v>0.0213</v>
      </c>
      <c r="H25" s="69">
        <f>F25+G25</f>
        <v/>
      </c>
      <c r="I25" s="70">
        <f>IF(H25&lt;0,INT(-H25*100),"0")</f>
        <v/>
      </c>
      <c r="J25" s="8" t="n">
        <v>100</v>
      </c>
      <c r="K25" s="8">
        <f>J25*I25</f>
        <v/>
      </c>
      <c r="L25" s="41" t="inlineStr">
        <is>
          <t>2026-06-26</t>
        </is>
      </c>
      <c r="M25" s="47" t="n">
        <v>0.7112000000000001</v>
      </c>
      <c r="N25" s="43">
        <f>((E25-M25)/M25)+G25</f>
        <v/>
      </c>
      <c r="O25" s="47" t="inlineStr">
        <is>
          <t>关注</t>
        </is>
      </c>
    </row>
    <row r="26">
      <c r="A26" s="28">
        <f>IF(场外2.0金字塔补仓!A26&lt;&gt;"",场外2.0金字塔补仓!A26,"")</f>
        <v/>
      </c>
      <c r="B26" s="29">
        <f>IF(场外2.0金字塔补仓!B26&lt;&gt;"",场外2.0金字塔补仓!B26,"")</f>
        <v/>
      </c>
      <c r="C26" s="17">
        <f>IF(场外2.0金字塔补仓!C26&lt;&gt;"",场外2.0金字塔补仓!C26,"")</f>
        <v/>
      </c>
      <c r="D26" s="66" t="n">
        <v>3.2777</v>
      </c>
      <c r="E26" s="66" t="n">
        <v>0.532</v>
      </c>
      <c r="F26" s="67">
        <f>(E26-D26)/D26</f>
        <v/>
      </c>
      <c r="G26" s="68" t="n">
        <v>0.0448</v>
      </c>
      <c r="H26" s="69">
        <f>F26+G26</f>
        <v/>
      </c>
      <c r="I26" s="70">
        <f>IF(H26&lt;0,INT(-H26*100),"0")</f>
        <v/>
      </c>
      <c r="J26" s="8" t="n">
        <v>100</v>
      </c>
      <c r="K26" s="8">
        <f>J26*I26</f>
        <v/>
      </c>
      <c r="L26" s="41" t="inlineStr">
        <is>
          <t>2026-07-09</t>
        </is>
      </c>
      <c r="M26" s="47" t="n">
        <v>0.4959</v>
      </c>
      <c r="N26" s="43">
        <f>((E26-M26)/M26)+G26</f>
        <v/>
      </c>
      <c r="O26" s="47" t="inlineStr">
        <is>
          <t>关注</t>
        </is>
      </c>
    </row>
    <row r="27">
      <c r="A27" s="28">
        <f>IF(场外2.0金字塔补仓!A27&lt;&gt;"",场外2.0金字塔补仓!A27,"")</f>
        <v/>
      </c>
      <c r="B27" s="29">
        <f>IF(场外2.0金字塔补仓!B27&lt;&gt;"",场外2.0金字塔补仓!B27,"")</f>
        <v/>
      </c>
      <c r="C27" s="17">
        <f>IF(场外2.0金字塔补仓!C27&lt;&gt;"",场外2.0金字塔补仓!C27,"")</f>
        <v/>
      </c>
      <c r="D27" s="66" t="n"/>
      <c r="E27" s="66" t="n"/>
      <c r="F27" s="67">
        <f>(E27-D27)/D27</f>
        <v/>
      </c>
      <c r="G27" s="68" t="n"/>
      <c r="H27" s="69">
        <f>F27+G27</f>
        <v/>
      </c>
      <c r="I27" s="70">
        <f>IF(H27&lt;0,INT(-H27*100),"0")</f>
        <v/>
      </c>
      <c r="J27" s="8" t="n"/>
      <c r="K27" s="8">
        <f>J27*I27</f>
        <v/>
      </c>
      <c r="L27" s="41" t="n"/>
      <c r="M27" s="47" t="n"/>
      <c r="N27" s="43">
        <f>((E27-M27)/M27)+G27</f>
        <v/>
      </c>
      <c r="O27" s="47" t="n"/>
    </row>
    <row r="28">
      <c r="A28" s="28">
        <f>IF(场外2.0金字塔补仓!A28&lt;&gt;"",场外2.0金字塔补仓!A28,"")</f>
        <v/>
      </c>
      <c r="B28" s="29">
        <f>IF(场外2.0金字塔补仓!B28&lt;&gt;"",场外2.0金字塔补仓!B28,"")</f>
        <v/>
      </c>
      <c r="C28" s="17">
        <f>IF(场外2.0金字塔补仓!C28&lt;&gt;"",场外2.0金字塔补仓!C28,"")</f>
        <v/>
      </c>
      <c r="D28" s="66" t="n"/>
      <c r="E28" s="66" t="n"/>
      <c r="F28" s="67">
        <f>(E28-D28)/D28</f>
        <v/>
      </c>
      <c r="G28" s="68" t="n">
        <v>-0.0072</v>
      </c>
      <c r="H28" s="69">
        <f>F28+G28</f>
        <v/>
      </c>
      <c r="I28" s="70">
        <f>IF(H28&lt;0,INT(-H28*100),"0")</f>
        <v/>
      </c>
      <c r="J28" s="8" t="n"/>
      <c r="K28" s="8">
        <f>J28*I28</f>
        <v/>
      </c>
      <c r="L28" s="41" t="n"/>
      <c r="M28" s="47" t="n"/>
      <c r="N28" s="43">
        <f>((E28-M28)/M28)+G28</f>
        <v/>
      </c>
      <c r="O28" s="47" t="n"/>
    </row>
    <row r="29">
      <c r="A29" s="28">
        <f>IF(场外2.0金字塔补仓!A29&lt;&gt;"",场外2.0金字塔补仓!A29,"")</f>
        <v/>
      </c>
      <c r="B29" s="29">
        <f>IF(场外2.0金字塔补仓!B29&lt;&gt;"",场外2.0金字塔补仓!B29,"")</f>
        <v/>
      </c>
      <c r="C29" s="17">
        <f>IF(场外2.0金字塔补仓!C29&lt;&gt;"",场外2.0金字塔补仓!C29,"")</f>
        <v/>
      </c>
      <c r="D29" s="66" t="n"/>
      <c r="E29" s="66" t="n"/>
      <c r="F29" s="67">
        <f>(E29-D29)/D29</f>
        <v/>
      </c>
      <c r="G29" s="68" t="n">
        <v>-0.03</v>
      </c>
      <c r="H29" s="69">
        <f>F29+G29</f>
        <v/>
      </c>
      <c r="I29" s="70">
        <f>IF(H29&lt;0,INT(-H29*100),"0")</f>
        <v/>
      </c>
      <c r="J29" s="8" t="n"/>
      <c r="K29" s="8">
        <f>J29*I29</f>
        <v/>
      </c>
      <c r="L29" s="41" t="n"/>
      <c r="M29" s="47" t="n"/>
      <c r="N29" s="43">
        <f>((E29-M29)/M29)+G29</f>
        <v/>
      </c>
      <c r="O29" s="47" t="n"/>
    </row>
  </sheetData>
  <conditionalFormatting sqref="H2:H29">
    <cfRule type="cellIs" priority="9" operator="lessThan" dxfId="0">
      <formula>0</formula>
    </cfRule>
    <cfRule type="cellIs" priority="10" operator="greaterThanOrEqual" dxfId="1">
      <formula>0</formula>
    </cfRule>
  </conditionalFormatting>
  <conditionalFormatting sqref="N2:N29">
    <cfRule type="cellIs" priority="3" operator="equal" dxfId="2">
      <formula>0</formula>
    </cfRule>
    <cfRule type="cellIs" priority="2" operator="greaterThan" dxfId="1">
      <formula>0</formula>
    </cfRule>
    <cfRule type="cellIs" priority="1" operator="lessThan" dxfId="3">
      <formula>0</formula>
    </cfRule>
  </conditionalFormatting>
  <conditionalFormatting sqref="F2:H29">
    <cfRule type="cellIs" priority="4" operator="equal" dxfId="4">
      <formula>0</formula>
    </cfRule>
  </conditionalFormatting>
  <conditionalFormatting sqref="F2:G29">
    <cfRule type="cellIs" priority="5" operator="greaterThan" dxfId="1">
      <formula>0</formula>
    </cfRule>
    <cfRule type="cellIs" priority="6" operator="lessThan" dxfId="5">
      <formula>0</formula>
    </cfRule>
  </conditionalFormatting>
  <dataValidations count="1">
    <dataValidation sqref="O2:O29" showDropDown="0" showInputMessage="1" showErrorMessage="1" allowBlank="1" type="list">
      <formula1>"持有,关注"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P29"/>
  <sheetViews>
    <sheetView workbookViewId="0">
      <selection activeCell="C41" sqref="C41"/>
    </sheetView>
  </sheetViews>
  <sheetFormatPr baseColWidth="8" defaultColWidth="9" defaultRowHeight="14.25"/>
  <cols>
    <col width="19.125" customWidth="1" min="1" max="1"/>
    <col width="7.75" customWidth="1" min="2" max="2"/>
    <col width="37.125" customWidth="1" min="3" max="3"/>
    <col width="12.875" customWidth="1" min="4" max="4"/>
    <col width="8.875" customWidth="1" min="5" max="6"/>
    <col width="8.55833333333333" customWidth="1" min="7" max="7"/>
    <col width="8.883333333333329" customWidth="1" min="8" max="8"/>
    <col width="8.108333333333331" customWidth="1" min="9" max="9"/>
    <col width="8.883333333333329" customWidth="1" min="10" max="10"/>
    <col width="9.55833333333333" customWidth="1" min="11" max="11"/>
    <col width="12.25" customWidth="1" min="12" max="12"/>
    <col width="11.75" customWidth="1" min="14" max="14"/>
    <col width="12" customWidth="1" min="15" max="15"/>
    <col width="12.125" customWidth="1" min="16" max="16"/>
  </cols>
  <sheetData>
    <row r="1" ht="20.4" customHeight="1">
      <c r="A1" s="58" t="inlineStr">
        <is>
          <t>类型</t>
        </is>
      </c>
      <c r="B1" s="58" t="inlineStr">
        <is>
          <t>代码</t>
        </is>
      </c>
      <c r="C1" s="58" t="inlineStr">
        <is>
          <t>基金名</t>
        </is>
      </c>
      <c r="D1" s="58" t="inlineStr">
        <is>
          <t>历史最高净值</t>
        </is>
      </c>
      <c r="E1" s="58" t="inlineStr">
        <is>
          <t>最新净值</t>
        </is>
      </c>
      <c r="F1" s="58" t="inlineStr">
        <is>
          <t>净值差额</t>
        </is>
      </c>
      <c r="G1" s="58" t="inlineStr">
        <is>
          <t>历史跌幅</t>
        </is>
      </c>
      <c r="H1" s="58" t="inlineStr">
        <is>
          <t>当天跌幅</t>
        </is>
      </c>
      <c r="I1" s="58" t="inlineStr">
        <is>
          <t>总跌幅（历史跌幅+当天跌幅）</t>
        </is>
      </c>
      <c r="J1" s="58" t="inlineStr">
        <is>
          <t>补仓倍数</t>
        </is>
      </c>
      <c r="K1" s="58" t="inlineStr">
        <is>
          <t>基础单价</t>
        </is>
      </c>
      <c r="L1" s="58" t="inlineStr">
        <is>
          <t>最终补仓单价</t>
        </is>
      </c>
      <c r="M1" s="58" t="inlineStr">
        <is>
          <t>补仓金额</t>
        </is>
      </c>
      <c r="N1" s="59" t="inlineStr">
        <is>
          <t>是否首次建仓</t>
        </is>
      </c>
      <c r="O1" s="59" t="inlineStr">
        <is>
          <t>首次建仓份数</t>
        </is>
      </c>
      <c r="P1" s="59" t="inlineStr">
        <is>
          <t>首次建仓金额</t>
        </is>
      </c>
    </row>
    <row r="2">
      <c r="A2" s="28" t="inlineStr">
        <is>
          <t>黄金</t>
        </is>
      </c>
      <c r="B2" s="29" t="inlineStr">
        <is>
          <t>000218</t>
        </is>
      </c>
      <c r="C2" s="22" t="inlineStr">
        <is>
          <t>国泰黄金ETF联接A</t>
        </is>
      </c>
      <c r="D2" s="60" t="n">
        <v>4.4715</v>
      </c>
      <c r="E2" s="60" t="n">
        <v>3.1509</v>
      </c>
      <c r="F2" s="8">
        <f>IF(E2&lt;&gt;"",E2-D2,0)</f>
        <v/>
      </c>
      <c r="G2" s="61">
        <f>(F2/D2)*100%</f>
        <v/>
      </c>
      <c r="H2" s="61">
        <f>场外1.0补仓!G2</f>
        <v/>
      </c>
      <c r="I2" s="61">
        <f>G2+H2</f>
        <v/>
      </c>
      <c r="J2" s="62">
        <f t="array" ref="J2">_xlfn.IFS(AND(I2&gt;=-15%,I2&lt;=0),1,AND(I2&gt;=-30%,I2&lt;-15%),2,AND(I2&gt;=-45%,I2&lt;-30%),3,AND(I2&gt;=-60%,I2&lt;-45%),4,AND(I2&gt;=-75%,I2&lt;-60%),5,AND(I2&gt;=-90%,I2&lt;-75%),6,TRUE,"")</f>
        <v/>
      </c>
      <c r="K2" s="47" t="n">
        <v>20</v>
      </c>
      <c r="L2" s="47">
        <f>J2*K2</f>
        <v/>
      </c>
      <c r="M2" s="47">
        <f>场外1.0补仓!I2*L2</f>
        <v/>
      </c>
      <c r="N2" s="45" t="inlineStr">
        <is>
          <t>否</t>
        </is>
      </c>
      <c r="O2" s="40">
        <f>IF(N2="是",IF(I2&lt;0,INT(-I2*100),"0"),"")</f>
        <v/>
      </c>
      <c r="P2" s="46">
        <f>O2*L2</f>
        <v/>
      </c>
    </row>
    <row r="3">
      <c r="A3" s="28" t="inlineStr">
        <is>
          <t>商业航天</t>
        </is>
      </c>
      <c r="B3" s="29" t="inlineStr">
        <is>
          <t>024194</t>
        </is>
      </c>
      <c r="C3" s="22" t="inlineStr">
        <is>
          <t>永赢国证商用卫星通信产业ETF联接A</t>
        </is>
      </c>
      <c r="D3" s="60" t="n">
        <v>1.9691</v>
      </c>
      <c r="E3" s="60" t="n">
        <v>1.2318</v>
      </c>
      <c r="F3" s="8">
        <f>IF(E3&lt;&gt;"",E3-D3,0)</f>
        <v/>
      </c>
      <c r="G3" s="61">
        <f>(F3/D3)*100%</f>
        <v/>
      </c>
      <c r="H3" s="61">
        <f>场外1.0补仓!G3</f>
        <v/>
      </c>
      <c r="I3" s="61">
        <f>G3+H3</f>
        <v/>
      </c>
      <c r="J3" s="62">
        <f t="array" ref="J3">_xlfn.IFS(AND(I3&gt;=-15%,I3&lt;=0),1,AND(I3&gt;=-30%,I3&lt;-15%),2,AND(I3&gt;=-45%,I3&lt;-30%),3,AND(I3&gt;=-60%,I3&lt;-45%),4,AND(I3&gt;=-75%,I3&lt;-60%),5,AND(I3&gt;=-90%,I3&lt;-75%),6,TRUE,"")</f>
        <v/>
      </c>
      <c r="K3" s="47" t="n">
        <v>20</v>
      </c>
      <c r="L3" s="47">
        <f>J3*K3</f>
        <v/>
      </c>
      <c r="M3" s="47">
        <f>场外1.0补仓!I3*L3</f>
        <v/>
      </c>
      <c r="N3" s="45" t="inlineStr">
        <is>
          <t>否</t>
        </is>
      </c>
      <c r="O3" s="40">
        <f>IF(N3="是",IF(I3&lt;0,INT(-I3*100),"0"),"")</f>
        <v/>
      </c>
      <c r="P3" s="46">
        <f>O3*L3</f>
        <v/>
      </c>
    </row>
    <row r="4">
      <c r="A4" s="28" t="inlineStr">
        <is>
          <t>超导/核聚变</t>
        </is>
      </c>
      <c r="B4" s="72" t="inlineStr">
        <is>
          <t>024202</t>
        </is>
      </c>
      <c r="C4" s="22" t="inlineStr">
        <is>
          <t>永赢制造升级智选混合A</t>
        </is>
      </c>
      <c r="D4" s="60" t="n">
        <v>1.8609</v>
      </c>
      <c r="E4" s="60" t="n">
        <v>1.2998</v>
      </c>
      <c r="F4" s="8">
        <f>IF(E4&lt;&gt;"",E4-D4,0)</f>
        <v/>
      </c>
      <c r="G4" s="61">
        <f>(F4/D4)*100%</f>
        <v/>
      </c>
      <c r="H4" s="61">
        <f>场外1.0补仓!G4</f>
        <v/>
      </c>
      <c r="I4" s="61">
        <f>G4+H4</f>
        <v/>
      </c>
      <c r="J4" s="62">
        <f t="array" ref="J4">_xlfn.IFS(AND(I4&gt;=-15%,I4&lt;=0),1,AND(I4&gt;=-30%,I4&lt;-15%),2,AND(I4&gt;=-45%,I4&lt;-30%),3,AND(I4&gt;=-60%,I4&lt;-45%),4,AND(I4&gt;=-75%,I4&lt;-60%),5,AND(I4&gt;=-90%,I4&lt;-75%),6,TRUE,"")</f>
        <v/>
      </c>
      <c r="K4" s="47" t="n">
        <v>20</v>
      </c>
      <c r="L4" s="47">
        <f>J4*K4</f>
        <v/>
      </c>
      <c r="M4" s="47">
        <f>场外1.0补仓!I4*L4</f>
        <v/>
      </c>
      <c r="N4" s="45" t="inlineStr">
        <is>
          <t>否</t>
        </is>
      </c>
      <c r="O4" s="40">
        <f>IF(N4="是",IF(I4&lt;0,INT(-I4*100),"0"),"")</f>
        <v/>
      </c>
      <c r="P4" s="46">
        <f>O4*L4</f>
        <v/>
      </c>
    </row>
    <row r="5">
      <c r="A5" s="28" t="inlineStr">
        <is>
          <t>军工</t>
        </is>
      </c>
      <c r="B5" s="29" t="inlineStr">
        <is>
          <t>001475</t>
        </is>
      </c>
      <c r="C5" s="22" t="inlineStr">
        <is>
          <t>易方达国防军工混合A</t>
        </is>
      </c>
      <c r="D5" s="60" t="n">
        <v>2.378</v>
      </c>
      <c r="E5" s="60" t="n">
        <v>1.962</v>
      </c>
      <c r="F5" s="8">
        <f>IF(E5&lt;&gt;"",E5-D5,0)</f>
        <v/>
      </c>
      <c r="G5" s="61">
        <f>(F5/D5)*100%</f>
        <v/>
      </c>
      <c r="H5" s="61">
        <f>场外1.0补仓!G5</f>
        <v/>
      </c>
      <c r="I5" s="61">
        <f>G5+H5</f>
        <v/>
      </c>
      <c r="J5" s="62">
        <f t="array" ref="J5">_xlfn.IFS(AND(I5&gt;=-15%,I5&lt;=0),1,AND(I5&gt;=-30%,I5&lt;-15%),2,AND(I5&gt;=-45%,I5&lt;-30%),3,AND(I5&gt;=-60%,I5&lt;-45%),4,AND(I5&gt;=-75%,I5&lt;-60%),5,AND(I5&gt;=-90%,I5&lt;-75%),6,TRUE,"")</f>
        <v/>
      </c>
      <c r="K5" s="47" t="n">
        <v>20</v>
      </c>
      <c r="L5" s="47">
        <f>J5*K5</f>
        <v/>
      </c>
      <c r="M5" s="47">
        <f>场外1.0补仓!I5*L5</f>
        <v/>
      </c>
      <c r="N5" s="45" t="inlineStr">
        <is>
          <t>否</t>
        </is>
      </c>
      <c r="O5" s="40">
        <f>IF(N5="是",IF(I5&lt;0,INT(-I5*100),"0"),"")</f>
        <v/>
      </c>
      <c r="P5" s="46">
        <f>O5*L5</f>
        <v/>
      </c>
    </row>
    <row r="6">
      <c r="A6" s="28" t="inlineStr">
        <is>
          <t>互金/金融IT</t>
        </is>
      </c>
      <c r="B6" s="72" t="inlineStr">
        <is>
          <t>013477</t>
        </is>
      </c>
      <c r="C6" s="17" t="inlineStr">
        <is>
          <t>华宝中证金融科技主题ETF联接A</t>
        </is>
      </c>
      <c r="D6" s="60" t="n">
        <v>1.3333</v>
      </c>
      <c r="E6" s="60" t="n">
        <v>0.784</v>
      </c>
      <c r="F6" s="8">
        <f>IF(E6&lt;&gt;"",E6-D6,0)</f>
        <v/>
      </c>
      <c r="G6" s="61">
        <f>(F6/D6)*100%</f>
        <v/>
      </c>
      <c r="H6" s="61">
        <f>场外1.0补仓!G6</f>
        <v/>
      </c>
      <c r="I6" s="61">
        <f>G6+H6</f>
        <v/>
      </c>
      <c r="J6" s="62">
        <f t="array" ref="J6">_xlfn.IFS(AND(I6&gt;=-15%,I6&lt;=0),1,AND(I6&gt;=-30%,I6&lt;-15%),2,AND(I6&gt;=-45%,I6&lt;-30%),3,AND(I6&gt;=-60%,I6&lt;-45%),4,AND(I6&gt;=-75%,I6&lt;-60%),5,AND(I6&gt;=-90%,I6&lt;-75%),6,TRUE,"")</f>
        <v/>
      </c>
      <c r="K6" s="47" t="n">
        <v>20</v>
      </c>
      <c r="L6" s="47">
        <f>J6*K6</f>
        <v/>
      </c>
      <c r="M6" s="47">
        <f>场外1.0补仓!I6*L6</f>
        <v/>
      </c>
      <c r="N6" s="45" t="inlineStr">
        <is>
          <t>否</t>
        </is>
      </c>
      <c r="O6" s="40">
        <f>IF(N6="是",IF(I6&lt;0,INT(-I6*100),"0"),"")</f>
        <v/>
      </c>
      <c r="P6" s="46">
        <f>O6*L6</f>
        <v/>
      </c>
    </row>
    <row r="7">
      <c r="A7" s="28" t="inlineStr">
        <is>
          <t>A股+港股(医药均衡)</t>
        </is>
      </c>
      <c r="B7" s="29" t="inlineStr">
        <is>
          <t>005453</t>
        </is>
      </c>
      <c r="C7" s="22" t="inlineStr">
        <is>
          <t>前海开源医疗健康混合A</t>
        </is>
      </c>
      <c r="D7" s="60" t="n">
        <v>3.4821</v>
      </c>
      <c r="E7" s="60" t="n">
        <v>1.1008</v>
      </c>
      <c r="F7" s="8">
        <f>IF(E7&lt;&gt;"",E7-D7,0)</f>
        <v/>
      </c>
      <c r="G7" s="61">
        <f>(F7/D7)*100%</f>
        <v/>
      </c>
      <c r="H7" s="61">
        <f>场外1.0补仓!G7</f>
        <v/>
      </c>
      <c r="I7" s="61">
        <f>G7+H7</f>
        <v/>
      </c>
      <c r="J7" s="62">
        <f t="array" ref="J7">_xlfn.IFS(AND(I7&gt;=-15%,I7&lt;=0),1,AND(I7&gt;=-30%,I7&lt;-15%),2,AND(I7&gt;=-45%,I7&lt;-30%),3,AND(I7&gt;=-60%,I7&lt;-45%),4,AND(I7&gt;=-75%,I7&lt;-60%),5,AND(I7&gt;=-90%,I7&lt;-75%),6,TRUE,"")</f>
        <v/>
      </c>
      <c r="K7" s="47" t="n">
        <v>20</v>
      </c>
      <c r="L7" s="47">
        <f>J7*K7</f>
        <v/>
      </c>
      <c r="M7" s="47">
        <f>场外1.0补仓!I7*L7</f>
        <v/>
      </c>
      <c r="N7" s="45" t="inlineStr">
        <is>
          <t>否</t>
        </is>
      </c>
      <c r="O7" s="40">
        <f>IF(N7="是",IF(I7&lt;0,INT(-I7*100),"0"),"")</f>
        <v/>
      </c>
      <c r="P7" s="46">
        <f>O7*L7</f>
        <v/>
      </c>
    </row>
    <row r="8">
      <c r="A8" s="28" t="inlineStr">
        <is>
          <t>消费</t>
        </is>
      </c>
      <c r="B8" s="29" t="inlineStr">
        <is>
          <t>008928</t>
        </is>
      </c>
      <c r="C8" s="22" t="inlineStr">
        <is>
          <t>泰达宏利中证主要消费红利指数A</t>
        </is>
      </c>
      <c r="D8" s="60" t="n">
        <v>1.9384</v>
      </c>
      <c r="E8" s="60" t="n">
        <v>1.3206</v>
      </c>
      <c r="F8" s="8">
        <f>IF(E8&lt;&gt;"",E8-D8,0)</f>
        <v/>
      </c>
      <c r="G8" s="61">
        <f>(F8/D8)*100%</f>
        <v/>
      </c>
      <c r="H8" s="61">
        <f>场外1.0补仓!G8</f>
        <v/>
      </c>
      <c r="I8" s="61">
        <f>G8+H8</f>
        <v/>
      </c>
      <c r="J8" s="62">
        <f t="array" ref="J8">_xlfn.IFS(AND(I8&gt;=-15%,I8&lt;=0),1,AND(I8&gt;=-30%,I8&lt;-15%),2,AND(I8&gt;=-45%,I8&lt;-30%),3,AND(I8&gt;=-60%,I8&lt;-45%),4,AND(I8&gt;=-75%,I8&lt;-60%),5,AND(I8&gt;=-90%,I8&lt;-75%),6,TRUE,"")</f>
        <v/>
      </c>
      <c r="K8" s="47" t="n">
        <v>20</v>
      </c>
      <c r="L8" s="47">
        <f>J8*K8</f>
        <v/>
      </c>
      <c r="M8" s="47">
        <f>场外1.0补仓!I8*L8</f>
        <v/>
      </c>
      <c r="N8" s="45" t="inlineStr">
        <is>
          <t>否</t>
        </is>
      </c>
      <c r="O8" s="40">
        <f>IF(N8="是",IF(I8&lt;0,INT(-I8*100),"0"),"")</f>
        <v/>
      </c>
      <c r="P8" s="46">
        <f>O8*L8</f>
        <v/>
      </c>
    </row>
    <row r="9">
      <c r="A9" s="28" t="inlineStr">
        <is>
          <t>CXO+创新药</t>
        </is>
      </c>
      <c r="B9" s="29" t="inlineStr">
        <is>
          <t>003095</t>
        </is>
      </c>
      <c r="C9" s="22" t="inlineStr">
        <is>
          <t>中欧医疗健康混合A</t>
        </is>
      </c>
      <c r="D9" s="60" t="n">
        <v>4.421</v>
      </c>
      <c r="E9" s="60" t="n">
        <v>1.926</v>
      </c>
      <c r="F9" s="8">
        <f>IF(E9&lt;&gt;"",E9-D9,0)</f>
        <v/>
      </c>
      <c r="G9" s="61">
        <f>(F9/D9)*100%</f>
        <v/>
      </c>
      <c r="H9" s="61">
        <f>场外1.0补仓!G9</f>
        <v/>
      </c>
      <c r="I9" s="61">
        <f>G9+H9</f>
        <v/>
      </c>
      <c r="J9" s="62">
        <f t="array" ref="J9">_xlfn.IFS(AND(I9&gt;=-15%,I9&lt;=0),1,AND(I9&gt;=-30%,I9&lt;-15%),2,AND(I9&gt;=-45%,I9&lt;-30%),3,AND(I9&gt;=-60%,I9&lt;-45%),4,AND(I9&gt;=-75%,I9&lt;-60%),5,AND(I9&gt;=-90%,I9&lt;-75%),6,TRUE,"")</f>
        <v/>
      </c>
      <c r="K9" s="47" t="n">
        <v>20</v>
      </c>
      <c r="L9" s="47">
        <f>J9*K9</f>
        <v/>
      </c>
      <c r="M9" s="47">
        <f>场外1.0补仓!I9*L9</f>
        <v/>
      </c>
      <c r="N9" s="45" t="inlineStr">
        <is>
          <t>否</t>
        </is>
      </c>
      <c r="O9" s="40">
        <f>IF(N9="是",IF(I9&lt;0,INT(-I9*100),"0"),"")</f>
        <v/>
      </c>
      <c r="P9" s="46">
        <f>O9*L9</f>
        <v/>
      </c>
    </row>
    <row r="10">
      <c r="A10" s="28" t="inlineStr">
        <is>
          <t>光伏</t>
        </is>
      </c>
      <c r="B10" s="29" t="inlineStr">
        <is>
          <t>011102</t>
        </is>
      </c>
      <c r="C10" s="22" t="inlineStr">
        <is>
          <t>天弘中证光伏产业指数A</t>
        </is>
      </c>
      <c r="D10" s="60" t="n">
        <v>1.5245</v>
      </c>
      <c r="E10" s="74" t="n">
        <v>0.6855</v>
      </c>
      <c r="F10" s="8">
        <f>IF(E10&lt;&gt;"",E10-D10,0)</f>
        <v/>
      </c>
      <c r="G10" s="61">
        <f>(F10/D10)*100%</f>
        <v/>
      </c>
      <c r="H10" s="61">
        <f>场外1.0补仓!G10</f>
        <v/>
      </c>
      <c r="I10" s="61">
        <f>G10+H10</f>
        <v/>
      </c>
      <c r="J10" s="62">
        <f t="array" ref="J10">_xlfn.IFS(AND(I10&gt;=-15%,I10&lt;=0),1,AND(I10&gt;=-30%,I10&lt;-15%),2,AND(I10&gt;=-45%,I10&lt;-30%),3,AND(I10&gt;=-60%,I10&lt;-45%),4,AND(I10&gt;=-75%,I10&lt;-60%),5,AND(I10&gt;=-90%,I10&lt;-75%),6,TRUE,"")</f>
        <v/>
      </c>
      <c r="K10" s="47" t="n">
        <v>20</v>
      </c>
      <c r="L10" s="47">
        <f>J10*K10</f>
        <v/>
      </c>
      <c r="M10" s="47">
        <f>场外1.0补仓!I10*L10</f>
        <v/>
      </c>
      <c r="N10" s="45" t="inlineStr">
        <is>
          <t>否</t>
        </is>
      </c>
      <c r="O10" s="40">
        <f>IF(N10="是",IF(I10&lt;0,INT(-I10*100),"0"),"")</f>
        <v/>
      </c>
      <c r="P10" s="46">
        <f>O10*L10</f>
        <v/>
      </c>
    </row>
    <row r="11">
      <c r="A11" s="28" t="inlineStr">
        <is>
          <t>锂电</t>
        </is>
      </c>
      <c r="B11" s="72" t="inlineStr">
        <is>
          <t>003984</t>
        </is>
      </c>
      <c r="C11" s="22" t="inlineStr">
        <is>
          <t>嘉实新能源新材料股票A</t>
        </is>
      </c>
      <c r="D11" s="60" t="n">
        <v>3.8813</v>
      </c>
      <c r="E11" s="74" t="n">
        <v>2.2606</v>
      </c>
      <c r="F11" s="8">
        <f>IF(E11&lt;&gt;"",E11-D11,0)</f>
        <v/>
      </c>
      <c r="G11" s="61">
        <f>(F11/D11)*100%</f>
        <v/>
      </c>
      <c r="H11" s="61">
        <f>场外1.0补仓!G11</f>
        <v/>
      </c>
      <c r="I11" s="61">
        <f>G11+H11</f>
        <v/>
      </c>
      <c r="J11" s="62">
        <f t="array" ref="J11">_xlfn.IFS(AND(I11&gt;=-15%,I11&lt;=0),1,AND(I11&gt;=-30%,I11&lt;-15%),2,AND(I11&gt;=-45%,I11&lt;-30%),3,AND(I11&gt;=-60%,I11&lt;-45%),4,AND(I11&gt;=-75%,I11&lt;-60%),5,AND(I11&gt;=-90%,I11&lt;-75%),6,TRUE,"")</f>
        <v/>
      </c>
      <c r="K11" s="47" t="n">
        <v>20</v>
      </c>
      <c r="L11" s="47">
        <f>J11*K11</f>
        <v/>
      </c>
      <c r="M11" s="47">
        <f>场外1.0补仓!I11*L11</f>
        <v/>
      </c>
      <c r="N11" s="45" t="inlineStr">
        <is>
          <t>否</t>
        </is>
      </c>
      <c r="O11" s="40">
        <f>IF(N11="是",IF(I11&lt;0,INT(-I11*100),"0"),"")</f>
        <v/>
      </c>
      <c r="P11" s="46">
        <f>O11*L11</f>
        <v/>
      </c>
    </row>
    <row r="12">
      <c r="A12" s="28" t="inlineStr">
        <is>
          <t>农业(种植养殖)</t>
        </is>
      </c>
      <c r="B12" s="29" t="inlineStr">
        <is>
          <t>010769</t>
        </is>
      </c>
      <c r="C12" s="22" t="inlineStr">
        <is>
          <t>天弘中证农业主题ETF联接A</t>
        </is>
      </c>
      <c r="D12" s="60" t="n">
        <v>1.1129</v>
      </c>
      <c r="E12" s="74" t="n">
        <v>0.7114</v>
      </c>
      <c r="F12" s="8">
        <f>IF(E12&lt;&gt;"",E12-D12,0)</f>
        <v/>
      </c>
      <c r="G12" s="61">
        <f>(F12/D12)*100%</f>
        <v/>
      </c>
      <c r="H12" s="61">
        <f>场外1.0补仓!G12</f>
        <v/>
      </c>
      <c r="I12" s="61">
        <f>G12+H12</f>
        <v/>
      </c>
      <c r="J12" s="62">
        <f t="array" ref="J12">_xlfn.IFS(AND(I12&gt;=-15%,I12&lt;=0),1,AND(I12&gt;=-30%,I12&lt;-15%),2,AND(I12&gt;=-45%,I12&lt;-30%),3,AND(I12&gt;=-60%,I12&lt;-45%),4,AND(I12&gt;=-75%,I12&lt;-60%),5,AND(I12&gt;=-90%,I12&lt;-75%),6,TRUE,"")</f>
        <v/>
      </c>
      <c r="K12" s="47" t="n">
        <v>20</v>
      </c>
      <c r="L12" s="47">
        <f>J12*K12</f>
        <v/>
      </c>
      <c r="M12" s="47">
        <f>场外1.0补仓!I12*L12</f>
        <v/>
      </c>
      <c r="N12" s="45" t="inlineStr">
        <is>
          <t>否</t>
        </is>
      </c>
      <c r="O12" s="40">
        <f>IF(N12="是",IF(I12&lt;0,INT(-I12*100),"0"),"")</f>
        <v/>
      </c>
      <c r="P12" s="46">
        <f>O12*L12</f>
        <v/>
      </c>
    </row>
    <row r="13">
      <c r="A13" s="28" t="inlineStr">
        <is>
          <t>电力设备</t>
        </is>
      </c>
      <c r="B13" s="29" t="inlineStr">
        <is>
          <t>025832</t>
        </is>
      </c>
      <c r="C13" s="22" t="inlineStr">
        <is>
          <t>天弘中证电网设备主题指数A</t>
        </is>
      </c>
      <c r="D13" s="60" t="n">
        <v>1.5577</v>
      </c>
      <c r="E13" s="74" t="n">
        <v>1.0946</v>
      </c>
      <c r="F13" s="8">
        <f>IF(E13&lt;&gt;"",E13-D13,0)</f>
        <v/>
      </c>
      <c r="G13" s="61">
        <f>(F13/D13)*100%</f>
        <v/>
      </c>
      <c r="H13" s="61">
        <f>场外1.0补仓!G13</f>
        <v/>
      </c>
      <c r="I13" s="61">
        <f>G13+H13</f>
        <v/>
      </c>
      <c r="J13" s="62">
        <f t="array" ref="J13">_xlfn.IFS(AND(I13&gt;=-15%,I13&lt;=0),1,AND(I13&gt;=-30%,I13&lt;-15%),2,AND(I13&gt;=-45%,I13&lt;-30%),3,AND(I13&gt;=-60%,I13&lt;-45%),4,AND(I13&gt;=-75%,I13&lt;-60%),5,AND(I13&gt;=-90%,I13&lt;-75%),6,TRUE,"")</f>
        <v/>
      </c>
      <c r="K13" s="47" t="n">
        <v>20</v>
      </c>
      <c r="L13" s="47">
        <f>J13*K13</f>
        <v/>
      </c>
      <c r="M13" s="47">
        <f>场外1.0补仓!I13*L13</f>
        <v/>
      </c>
      <c r="N13" s="45" t="inlineStr">
        <is>
          <t>否</t>
        </is>
      </c>
      <c r="O13" s="40">
        <f>IF(N13="是",IF(I13&lt;0,INT(-I13*100),"0"),"")</f>
        <v/>
      </c>
      <c r="P13" s="46">
        <f>O13*L13</f>
        <v/>
      </c>
    </row>
    <row r="14">
      <c r="A14" s="28" t="inlineStr">
        <is>
          <t>有色金属</t>
        </is>
      </c>
      <c r="B14" s="29" t="inlineStr">
        <is>
          <t>004432</t>
        </is>
      </c>
      <c r="C14" s="22" t="inlineStr">
        <is>
          <t>南方有色金属ETF联接A</t>
        </is>
      </c>
      <c r="D14" s="60" t="n">
        <v>2.5239</v>
      </c>
      <c r="E14" s="74" t="n">
        <v>1.6308</v>
      </c>
      <c r="F14" s="8">
        <f>IF(E14&lt;&gt;"",E14-D14,0)</f>
        <v/>
      </c>
      <c r="G14" s="61">
        <f>(F14/D14)*100%</f>
        <v/>
      </c>
      <c r="H14" s="61">
        <f>场外1.0补仓!G14</f>
        <v/>
      </c>
      <c r="I14" s="61">
        <f>G14+H14</f>
        <v/>
      </c>
      <c r="J14" s="62">
        <f t="array" ref="J14">_xlfn.IFS(AND(I14&gt;=-15%,I14&lt;=0),1,AND(I14&gt;=-30%,I14&lt;-15%),2,AND(I14&gt;=-45%,I14&lt;-30%),3,AND(I14&gt;=-60%,I14&lt;-45%),4,AND(I14&gt;=-75%,I14&lt;-60%),5,AND(I14&gt;=-90%,I14&lt;-75%),6,TRUE,"")</f>
        <v/>
      </c>
      <c r="K14" s="47" t="n">
        <v>20</v>
      </c>
      <c r="L14" s="47">
        <f>J14*K14</f>
        <v/>
      </c>
      <c r="M14" s="47">
        <f>场外1.0补仓!I14*L14</f>
        <v/>
      </c>
      <c r="N14" s="45" t="inlineStr">
        <is>
          <t>否</t>
        </is>
      </c>
      <c r="O14" s="40">
        <f>IF(N14="是",IF(I14&lt;0,INT(-I14*100),"0"),"")</f>
        <v/>
      </c>
      <c r="P14" s="46">
        <f>O14*L14</f>
        <v/>
      </c>
    </row>
    <row r="15">
      <c r="A15" s="28" t="inlineStr">
        <is>
          <t>半导体</t>
        </is>
      </c>
      <c r="B15" s="72" t="inlineStr">
        <is>
          <t>008887</t>
        </is>
      </c>
      <c r="C15" s="22" t="inlineStr">
        <is>
          <t>华夏国证半导体芯片ETF</t>
        </is>
      </c>
      <c r="D15" s="60" t="n">
        <v>2.8703</v>
      </c>
      <c r="E15" s="74" t="n">
        <v>2.1202</v>
      </c>
      <c r="F15" s="8">
        <f>IF(E15&lt;&gt;"",E15-D15,0)</f>
        <v/>
      </c>
      <c r="G15" s="61">
        <f>(F15/D15)*100%</f>
        <v/>
      </c>
      <c r="H15" s="61">
        <f>场外1.0补仓!G15</f>
        <v/>
      </c>
      <c r="I15" s="61">
        <f>G15+H15</f>
        <v/>
      </c>
      <c r="J15" s="62">
        <f t="array" ref="J15">_xlfn.IFS(AND(I15&gt;=-15%,I15&lt;=0),1,AND(I15&gt;=-30%,I15&lt;-15%),2,AND(I15&gt;=-45%,I15&lt;-30%),3,AND(I15&gt;=-60%,I15&lt;-45%),4,AND(I15&gt;=-75%,I15&lt;-60%),5,AND(I15&gt;=-90%,I15&lt;-75%),6,TRUE,"")</f>
        <v/>
      </c>
      <c r="K15" s="47" t="n">
        <v>20</v>
      </c>
      <c r="L15" s="47">
        <f>J15*K15</f>
        <v/>
      </c>
      <c r="M15" s="47">
        <f>场外1.0补仓!I15*L15</f>
        <v/>
      </c>
      <c r="N15" s="45" t="inlineStr">
        <is>
          <t>否</t>
        </is>
      </c>
      <c r="O15" s="40">
        <f>IF(N15="是",IF(I15&lt;0,INT(-I15*100),"0"),"")</f>
        <v/>
      </c>
      <c r="P15" s="46">
        <f>O15*L15</f>
        <v/>
      </c>
    </row>
    <row r="16">
      <c r="A16" s="28" t="inlineStr">
        <is>
          <t>机器人</t>
        </is>
      </c>
      <c r="B16" s="72" t="inlineStr">
        <is>
          <t>018344</t>
        </is>
      </c>
      <c r="C16" s="22" t="inlineStr">
        <is>
          <t>华夏中证机器人ETF联接A</t>
        </is>
      </c>
      <c r="D16" s="60" t="n">
        <v>1.4532</v>
      </c>
      <c r="E16" s="74" t="n">
        <v>1.1773</v>
      </c>
      <c r="F16" s="8">
        <f>IF(E16&lt;&gt;"",E16-D16,0)</f>
        <v/>
      </c>
      <c r="G16" s="61">
        <f>(F16/D16)*100%</f>
        <v/>
      </c>
      <c r="H16" s="61">
        <f>场外1.0补仓!G16</f>
        <v/>
      </c>
      <c r="I16" s="61">
        <f>G16+H16</f>
        <v/>
      </c>
      <c r="J16" s="62">
        <f t="array" ref="J16">_xlfn.IFS(AND(I16&gt;=-15%,I16&lt;=0),1,AND(I16&gt;=-30%,I16&lt;-15%),2,AND(I16&gt;=-45%,I16&lt;-30%),3,AND(I16&gt;=-60%,I16&lt;-45%),4,AND(I16&gt;=-75%,I16&lt;-60%),5,AND(I16&gt;=-90%,I16&lt;-75%),6,TRUE,"")</f>
        <v/>
      </c>
      <c r="K16" s="47" t="n">
        <v>20</v>
      </c>
      <c r="L16" s="47">
        <f>J16*K16</f>
        <v/>
      </c>
      <c r="M16" s="47">
        <f>场外1.0补仓!I16*L16</f>
        <v/>
      </c>
      <c r="N16" s="45" t="inlineStr">
        <is>
          <t>否</t>
        </is>
      </c>
      <c r="O16" s="40">
        <f>IF(N16="是",IF(I16&lt;0,INT(-I16*100),"0"),"")</f>
        <v/>
      </c>
      <c r="P16" s="46">
        <f>O16*L16</f>
        <v/>
      </c>
    </row>
    <row r="17">
      <c r="A17" s="28" t="inlineStr">
        <is>
          <t>智能汽车/无人驾驶</t>
        </is>
      </c>
      <c r="B17" s="29" t="inlineStr">
        <is>
          <t>001790</t>
        </is>
      </c>
      <c r="C17" s="22" t="inlineStr">
        <is>
          <t>国泰智能汽车股票A</t>
        </is>
      </c>
      <c r="D17" s="60" t="n">
        <v>3.449</v>
      </c>
      <c r="E17" s="74" t="n">
        <v>2.2797</v>
      </c>
      <c r="F17" s="8">
        <f>IF(E17&lt;&gt;"",E17-D17,0)</f>
        <v/>
      </c>
      <c r="G17" s="61">
        <f>(F17/D17)*100%</f>
        <v/>
      </c>
      <c r="H17" s="61">
        <f>场外1.0补仓!G17</f>
        <v/>
      </c>
      <c r="I17" s="61">
        <f>G17+H17</f>
        <v/>
      </c>
      <c r="J17" s="62">
        <f t="array" ref="J17">_xlfn.IFS(AND(I17&gt;=-15%,I17&lt;=0),1,AND(I17&gt;=-30%,I17&lt;-15%),2,AND(I17&gt;=-45%,I17&lt;-30%),3,AND(I17&gt;=-60%,I17&lt;-45%),4,AND(I17&gt;=-75%,I17&lt;-60%),5,AND(I17&gt;=-90%,I17&lt;-75%),6,TRUE,"")</f>
        <v/>
      </c>
      <c r="K17" s="47" t="n">
        <v>20</v>
      </c>
      <c r="L17" s="47">
        <f>J17*K17</f>
        <v/>
      </c>
      <c r="M17" s="47">
        <f>场外1.0补仓!I17*L17</f>
        <v/>
      </c>
      <c r="N17" s="45" t="inlineStr">
        <is>
          <t>否</t>
        </is>
      </c>
      <c r="O17" s="40">
        <f>IF(N17="是",IF(I17&lt;0,INT(-I17*100),"0"),"")</f>
        <v/>
      </c>
      <c r="P17" s="46">
        <f>O17*L17</f>
        <v/>
      </c>
    </row>
    <row r="18">
      <c r="A18" s="28" t="inlineStr">
        <is>
          <t>猪肉</t>
        </is>
      </c>
      <c r="B18" s="72" t="inlineStr">
        <is>
          <t>014414</t>
        </is>
      </c>
      <c r="C18" s="22" t="inlineStr">
        <is>
          <t>招商中证畜牧养殖ETF联接A</t>
        </is>
      </c>
      <c r="D18" s="60" t="n">
        <v>1.2169</v>
      </c>
      <c r="E18" s="74" t="n">
        <v>0.752</v>
      </c>
      <c r="F18" s="8">
        <f>IF(E18&lt;&gt;"",E18-D18,0)</f>
        <v/>
      </c>
      <c r="G18" s="61">
        <f>(F18/D18)*100%</f>
        <v/>
      </c>
      <c r="H18" s="61">
        <f>场外1.0补仓!G18</f>
        <v/>
      </c>
      <c r="I18" s="61">
        <f>G18+H18</f>
        <v/>
      </c>
      <c r="J18" s="62">
        <f t="array" ref="J18">_xlfn.IFS(AND(I18&gt;=-15%,I18&lt;=0),1,AND(I18&gt;=-30%,I18&lt;-15%),2,AND(I18&gt;=-45%,I18&lt;-30%),3,AND(I18&gt;=-60%,I18&lt;-45%),4,AND(I18&gt;=-75%,I18&lt;-60%),5,AND(I18&gt;=-90%,I18&lt;-75%),6,TRUE,"")</f>
        <v/>
      </c>
      <c r="K18" s="47" t="n">
        <v>20</v>
      </c>
      <c r="L18" s="47">
        <f>J18*K18</f>
        <v/>
      </c>
      <c r="M18" s="47">
        <f>场外1.0补仓!I18*L18</f>
        <v/>
      </c>
      <c r="N18" s="45" t="inlineStr">
        <is>
          <t>否</t>
        </is>
      </c>
      <c r="O18" s="40">
        <f>IF(N18="是",IF(I18&lt;0,INT(-I18*100),"0"),"")</f>
        <v/>
      </c>
      <c r="P18" s="46">
        <f>O18*L18</f>
        <v/>
      </c>
    </row>
    <row r="19">
      <c r="A19" s="28" t="inlineStr">
        <is>
          <t>券商</t>
        </is>
      </c>
      <c r="B19" s="29" t="inlineStr">
        <is>
          <t>006098</t>
        </is>
      </c>
      <c r="C19" s="22" t="inlineStr">
        <is>
          <t>华宝券商ETF联接A</t>
        </is>
      </c>
      <c r="D19" s="60" t="n">
        <v>1.8722</v>
      </c>
      <c r="E19" s="74" t="n">
        <v>1.5343</v>
      </c>
      <c r="F19" s="8">
        <f>IF(E19&lt;&gt;"",E19-D19,0)</f>
        <v/>
      </c>
      <c r="G19" s="61">
        <f>(F19/D19)*100%</f>
        <v/>
      </c>
      <c r="H19" s="61">
        <f>场外1.0补仓!G19</f>
        <v/>
      </c>
      <c r="I19" s="61">
        <f>G19+H19</f>
        <v/>
      </c>
      <c r="J19" s="62">
        <f t="array" ref="J19">_xlfn.IFS(AND(I19&gt;=-15%,I19&lt;=0),1,AND(I19&gt;=-30%,I19&lt;-15%),2,AND(I19&gt;=-45%,I19&lt;-30%),3,AND(I19&gt;=-60%,I19&lt;-45%),4,AND(I19&gt;=-75%,I19&lt;-60%),5,AND(I19&gt;=-90%,I19&lt;-75%),6,TRUE,"")</f>
        <v/>
      </c>
      <c r="K19" s="47" t="n">
        <v>20</v>
      </c>
      <c r="L19" s="47">
        <f>J19*K19</f>
        <v/>
      </c>
      <c r="M19" s="47">
        <f>场外1.0补仓!I19*L19</f>
        <v/>
      </c>
      <c r="N19" s="45" t="inlineStr">
        <is>
          <t>否</t>
        </is>
      </c>
      <c r="O19" s="40">
        <f>IF(N19="是",IF(I19&lt;0,INT(-I19*100),"0"),"")</f>
        <v/>
      </c>
      <c r="P19" s="46">
        <f>O19*L19</f>
        <v/>
      </c>
    </row>
    <row r="20">
      <c r="A20" s="28" t="inlineStr">
        <is>
          <t>科创50</t>
        </is>
      </c>
      <c r="B20" s="29" t="inlineStr">
        <is>
          <t>011608</t>
        </is>
      </c>
      <c r="C20" s="22" t="inlineStr">
        <is>
          <t>易方达科创50联接A</t>
        </is>
      </c>
      <c r="D20" s="60" t="n">
        <v>1.6749</v>
      </c>
      <c r="E20" s="74" t="n">
        <v>1.3205</v>
      </c>
      <c r="F20" s="8">
        <f>IF(E20&lt;&gt;"",E20-D20,0)</f>
        <v/>
      </c>
      <c r="G20" s="61">
        <f>(F20/D20)*100%</f>
        <v/>
      </c>
      <c r="H20" s="61">
        <f>场外1.0补仓!G20</f>
        <v/>
      </c>
      <c r="I20" s="61">
        <f>G20+H20</f>
        <v/>
      </c>
      <c r="J20" s="62">
        <f t="array" ref="J20">_xlfn.IFS(AND(I20&gt;=-15%,I20&lt;=0),1,AND(I20&gt;=-30%,I20&lt;-15%),2,AND(I20&gt;=-45%,I20&lt;-30%),3,AND(I20&gt;=-60%,I20&lt;-45%),4,AND(I20&gt;=-75%,I20&lt;-60%),5,AND(I20&gt;=-90%,I20&lt;-75%),6,TRUE,"")</f>
        <v/>
      </c>
      <c r="K20" s="47" t="n">
        <v>20</v>
      </c>
      <c r="L20" s="47">
        <f>J20*K20</f>
        <v/>
      </c>
      <c r="M20" s="47">
        <f>场外1.0补仓!I20*L20</f>
        <v/>
      </c>
      <c r="N20" s="45" t="inlineStr">
        <is>
          <t>否</t>
        </is>
      </c>
      <c r="O20" s="40">
        <f>IF(N20="是",IF(I20&lt;0,INT(-I20*100),"0"),"")</f>
        <v/>
      </c>
      <c r="P20" s="46">
        <f>O20*L20</f>
        <v/>
      </c>
    </row>
    <row r="21">
      <c r="A21" s="28" t="inlineStr">
        <is>
          <t>创业板</t>
        </is>
      </c>
      <c r="B21" s="29" t="inlineStr">
        <is>
          <t>003765</t>
        </is>
      </c>
      <c r="C21" s="22" t="inlineStr">
        <is>
          <t>广发创业板ETF联接A</t>
        </is>
      </c>
      <c r="D21" s="60" t="n">
        <v>2.3474</v>
      </c>
      <c r="E21" s="74" t="n">
        <v>1.859</v>
      </c>
      <c r="F21" s="8">
        <f>IF(E21&lt;&gt;"",E21-D21,0)</f>
        <v/>
      </c>
      <c r="G21" s="61">
        <f>(F21/D21)*100%</f>
        <v/>
      </c>
      <c r="H21" s="61">
        <f>场外1.0补仓!G21</f>
        <v/>
      </c>
      <c r="I21" s="61">
        <f>G21+H21</f>
        <v/>
      </c>
      <c r="J21" s="62">
        <f t="array" ref="J21">_xlfn.IFS(AND(I21&gt;=-15%,I21&lt;=0),1,AND(I21&gt;=-30%,I21&lt;-15%),2,AND(I21&gt;=-45%,I21&lt;-30%),3,AND(I21&gt;=-60%,I21&lt;-45%),4,AND(I21&gt;=-75%,I21&lt;-60%),5,AND(I21&gt;=-90%,I21&lt;-75%),6,TRUE,"")</f>
        <v/>
      </c>
      <c r="K21" s="47" t="n">
        <v>20</v>
      </c>
      <c r="L21" s="47">
        <f>J21*K21</f>
        <v/>
      </c>
      <c r="M21" s="47">
        <f>场外1.0补仓!I21*L21</f>
        <v/>
      </c>
      <c r="N21" s="45" t="inlineStr">
        <is>
          <t>否</t>
        </is>
      </c>
      <c r="O21" s="40">
        <f>IF(N21="是",IF(I21&lt;0,INT(-I21*100),"0"),"")</f>
        <v/>
      </c>
      <c r="P21" s="46">
        <f>O21*L21</f>
        <v/>
      </c>
    </row>
    <row r="22">
      <c r="A22" s="28" t="inlineStr">
        <is>
          <t>量化中小盘</t>
        </is>
      </c>
      <c r="B22" s="72" t="inlineStr">
        <is>
          <t>025656</t>
        </is>
      </c>
      <c r="C22" s="22" t="inlineStr">
        <is>
          <t>国金智远量化A</t>
        </is>
      </c>
      <c r="D22" s="60" t="n">
        <v>1.2999</v>
      </c>
      <c r="E22" s="74" t="n">
        <v>1.0329</v>
      </c>
      <c r="F22" s="8">
        <f>IF(E22&lt;&gt;"",E22-D22,0)</f>
        <v/>
      </c>
      <c r="G22" s="61">
        <f>(F22/D22)*100%</f>
        <v/>
      </c>
      <c r="H22" s="61">
        <f>场外1.0补仓!G22</f>
        <v/>
      </c>
      <c r="I22" s="61">
        <f>G22+H22</f>
        <v/>
      </c>
      <c r="J22" s="62">
        <f t="array" ref="J22">_xlfn.IFS(AND(I22&gt;=-15%,I22&lt;=0),1,AND(I22&gt;=-30%,I22&lt;-15%),2,AND(I22&gt;=-45%,I22&lt;-30%),3,AND(I22&gt;=-60%,I22&lt;-45%),4,AND(I22&gt;=-75%,I22&lt;-60%),5,AND(I22&gt;=-90%,I22&lt;-75%),6,TRUE,"")</f>
        <v/>
      </c>
      <c r="K22" s="47" t="n">
        <v>20</v>
      </c>
      <c r="L22" s="47">
        <f>J22*K22</f>
        <v/>
      </c>
      <c r="M22" s="47">
        <f>场外1.0补仓!I22*L22</f>
        <v/>
      </c>
      <c r="N22" s="45" t="inlineStr">
        <is>
          <t>否</t>
        </is>
      </c>
      <c r="O22" s="40">
        <f>IF(N22="是",IF(I22&lt;0,INT(-I22*100),"0"),"")</f>
        <v/>
      </c>
      <c r="P22" s="46">
        <f>O22*L22</f>
        <v/>
      </c>
    </row>
    <row r="23">
      <c r="A23" s="28" t="inlineStr">
        <is>
          <t>CPO</t>
        </is>
      </c>
      <c r="B23" s="72" t="inlineStr">
        <is>
          <t>025880</t>
        </is>
      </c>
      <c r="C23" s="22" t="inlineStr">
        <is>
          <t>汇添富科技领先混合A</t>
        </is>
      </c>
      <c r="D23" s="60" t="n">
        <v>1.9364</v>
      </c>
      <c r="E23" s="60" t="n">
        <v>1.3971</v>
      </c>
      <c r="F23" s="8">
        <f>IF(E23&lt;&gt;"",E23-D23,0)</f>
        <v/>
      </c>
      <c r="G23" s="61">
        <f>(F23/D23)*100%</f>
        <v/>
      </c>
      <c r="H23" s="61">
        <f>场外1.0补仓!G23</f>
        <v/>
      </c>
      <c r="I23" s="61">
        <f>G23+H23</f>
        <v/>
      </c>
      <c r="J23" s="62">
        <f t="array" ref="J23">_xlfn.IFS(AND(I23&gt;=-15%,I23&lt;=0),1,AND(I23&gt;=-30%,I23&lt;-15%),2,AND(I23&gt;=-45%,I23&lt;-30%),3,AND(I23&gt;=-60%,I23&lt;-45%),4,AND(I23&gt;=-75%,I23&lt;-60%),5,AND(I23&gt;=-90%,I23&lt;-75%),6,TRUE,"")</f>
        <v/>
      </c>
      <c r="K23" s="47" t="n"/>
      <c r="L23" s="47">
        <f>J23*K23</f>
        <v/>
      </c>
      <c r="M23" s="47">
        <f>场外1.0补仓!I23*L23</f>
        <v/>
      </c>
      <c r="N23" s="45" t="inlineStr">
        <is>
          <t>否</t>
        </is>
      </c>
      <c r="O23" s="40">
        <f>IF(N23="是",IF(I23&lt;0,INT(-I23*100),"0"),"")</f>
        <v/>
      </c>
      <c r="P23" s="46">
        <f>O23*L23</f>
        <v/>
      </c>
    </row>
    <row r="24">
      <c r="A24" s="28" t="inlineStr">
        <is>
          <t>存储芯片</t>
        </is>
      </c>
      <c r="B24" s="72" t="inlineStr">
        <is>
          <t>021420</t>
        </is>
      </c>
      <c r="C24" s="22" t="inlineStr">
        <is>
          <t>广发信创ETF联接A</t>
        </is>
      </c>
      <c r="D24" s="60" t="n">
        <v>2.6987</v>
      </c>
      <c r="E24" s="60" t="n">
        <v>1.9915</v>
      </c>
      <c r="F24" s="8">
        <f>IF(E24&lt;&gt;"",E24-D24,0)</f>
        <v/>
      </c>
      <c r="G24" s="61">
        <f>(F24/D24)*100%</f>
        <v/>
      </c>
      <c r="H24" s="61">
        <f>场外1.0补仓!G24</f>
        <v/>
      </c>
      <c r="I24" s="61">
        <f>G24+H24</f>
        <v/>
      </c>
      <c r="J24" s="62">
        <f t="array" ref="J24">_xlfn.IFS(AND(I24&gt;=-15%,I24&lt;=0),1,AND(I24&gt;=-30%,I24&lt;-15%),2,AND(I24&gt;=-45%,I24&lt;-30%),3,AND(I24&gt;=-60%,I24&lt;-45%),4,AND(I24&gt;=-75%,I24&lt;-60%),5,AND(I24&gt;=-90%,I24&lt;-75%),6,TRUE,"")</f>
        <v/>
      </c>
      <c r="K24" s="47" t="n"/>
      <c r="L24" s="47">
        <f>J24*K24</f>
        <v/>
      </c>
      <c r="M24" s="47">
        <f>场外1.0补仓!I24*L24</f>
        <v/>
      </c>
      <c r="N24" s="45" t="inlineStr">
        <is>
          <t>否</t>
        </is>
      </c>
      <c r="O24" s="40">
        <f>IF(N24="是",IF(I24&lt;0,INT(-I24*100),"0"),"")</f>
        <v/>
      </c>
      <c r="P24" s="46">
        <f>O24*L24</f>
        <v/>
      </c>
    </row>
    <row r="25">
      <c r="A25" s="28" t="inlineStr">
        <is>
          <t>恒生科技</t>
        </is>
      </c>
      <c r="B25" s="72" t="inlineStr">
        <is>
          <t>013402</t>
        </is>
      </c>
      <c r="C25" s="22" t="inlineStr">
        <is>
          <t>华夏恒生科技ETF联接（QDII）A</t>
        </is>
      </c>
      <c r="D25" s="60" t="n">
        <v>1.1155</v>
      </c>
      <c r="E25" s="60" t="n">
        <v>0.7667</v>
      </c>
      <c r="F25" s="8">
        <f>IF(E25&lt;&gt;"",E25-D25,0)</f>
        <v/>
      </c>
      <c r="G25" s="61">
        <f>(F25/D25)*100%</f>
        <v/>
      </c>
      <c r="H25" s="61">
        <f>场外1.0补仓!G25</f>
        <v/>
      </c>
      <c r="I25" s="61">
        <f>G25+H25</f>
        <v/>
      </c>
      <c r="J25" s="62">
        <f t="array" ref="J25">_xlfn.IFS(AND(I25&gt;=-15%,I25&lt;=0),1,AND(I25&gt;=-30%,I25&lt;-15%),2,AND(I25&gt;=-45%,I25&lt;-30%),3,AND(I25&gt;=-60%,I25&lt;-45%),4,AND(I25&gt;=-75%,I25&lt;-60%),5,AND(I25&gt;=-90%,I25&lt;-75%),6,TRUE,"")</f>
        <v/>
      </c>
      <c r="K25" s="47" t="n"/>
      <c r="L25" s="47">
        <f>J25*K25</f>
        <v/>
      </c>
      <c r="M25" s="47">
        <f>场外1.0补仓!I25*L25</f>
        <v/>
      </c>
      <c r="N25" s="45" t="inlineStr">
        <is>
          <t>否</t>
        </is>
      </c>
      <c r="O25" s="40">
        <f>IF(N25="是",IF(I25&lt;0,INT(-I25*100),"0"),"")</f>
        <v/>
      </c>
      <c r="P25" s="46">
        <f>O25*L25</f>
        <v/>
      </c>
    </row>
    <row r="26">
      <c r="A26" s="28" t="inlineStr">
        <is>
          <t>白酒</t>
        </is>
      </c>
      <c r="B26" s="29" t="n">
        <v>161725</v>
      </c>
      <c r="C26" s="22" t="inlineStr">
        <is>
          <t>招商中证白酒A</t>
        </is>
      </c>
      <c r="D26" s="60" t="n">
        <v>3.2777</v>
      </c>
      <c r="E26" s="74" t="n">
        <v>0.532</v>
      </c>
      <c r="F26" s="8">
        <f>IF(E26&lt;&gt;"",E26-D26,0)</f>
        <v/>
      </c>
      <c r="G26" s="61">
        <f>(F26/D26)*100%</f>
        <v/>
      </c>
      <c r="H26" s="61">
        <f>场外1.0补仓!G26</f>
        <v/>
      </c>
      <c r="I26" s="61">
        <f>G26+H26</f>
        <v/>
      </c>
      <c r="J26" s="62">
        <f t="array" ref="J26">_xlfn.IFS(AND(I26&gt;=-15%,I26&lt;=0),1,AND(I26&gt;=-30%,I26&lt;-15%),2,AND(I26&gt;=-45%,I26&lt;-30%),3,AND(I26&gt;=-60%,I26&lt;-45%),4,AND(I26&gt;=-75%,I26&lt;-60%),5,AND(I26&gt;=-90%,I26&lt;-75%),6,TRUE,"")</f>
        <v/>
      </c>
      <c r="K26" s="47" t="n"/>
      <c r="L26" s="47">
        <f>J26*K26</f>
        <v/>
      </c>
      <c r="M26" s="47">
        <f>场外1.0补仓!I26*L26</f>
        <v/>
      </c>
      <c r="N26" s="45" t="inlineStr">
        <is>
          <t>否</t>
        </is>
      </c>
      <c r="O26" s="40">
        <f>IF(N26="是",IF(I26&lt;0,INT(-I26*100),"0"),"")</f>
        <v/>
      </c>
      <c r="P26" s="46">
        <f>O26*L26</f>
        <v/>
      </c>
    </row>
    <row r="27">
      <c r="A27" s="28" t="n"/>
      <c r="B27" s="29" t="n"/>
      <c r="C27" s="22" t="n"/>
      <c r="D27" s="60" t="n"/>
      <c r="E27" s="60" t="n"/>
      <c r="F27" s="8">
        <f>IF(E27&lt;&gt;"",E27-D27,0)</f>
        <v/>
      </c>
      <c r="G27" s="61">
        <f>(F27/D27)*100%</f>
        <v/>
      </c>
      <c r="H27" s="61">
        <f>场外1.0补仓!G27</f>
        <v/>
      </c>
      <c r="I27" s="61">
        <f>G27+H27</f>
        <v/>
      </c>
      <c r="J27" s="62">
        <f t="array" ref="J27">_xlfn.IFS(AND(I27&gt;=-15%,I27&lt;=0),1,AND(I27&gt;=-30%,I27&lt;-15%),2,AND(I27&gt;=-45%,I27&lt;-30%),3,AND(I27&gt;=-60%,I27&lt;-45%),4,AND(I27&gt;=-75%,I27&lt;-60%),5,AND(I27&gt;=-90%,I27&lt;-75%),6,TRUE,"")</f>
        <v/>
      </c>
      <c r="K27" s="47" t="n"/>
      <c r="L27" s="47">
        <f>J27*K27</f>
        <v/>
      </c>
      <c r="M27" s="47">
        <f>场外1.0补仓!I27*L27</f>
        <v/>
      </c>
      <c r="N27" s="45" t="inlineStr">
        <is>
          <t>否</t>
        </is>
      </c>
      <c r="O27" s="40">
        <f>IF(N27="是",IF(I27&lt;0,INT(-I27*100),"0"),"")</f>
        <v/>
      </c>
      <c r="P27" s="46">
        <f>O27*L27</f>
        <v/>
      </c>
    </row>
    <row r="28">
      <c r="A28" s="28" t="n"/>
      <c r="B28" s="29" t="n"/>
      <c r="C28" s="22" t="n"/>
      <c r="D28" s="60" t="n"/>
      <c r="E28" s="60" t="n"/>
      <c r="F28" s="8">
        <f>IF(E28&lt;&gt;"",E28-D28,0)</f>
        <v/>
      </c>
      <c r="G28" s="61">
        <f>(F28/D28)*100%</f>
        <v/>
      </c>
      <c r="H28" s="61">
        <f>场外1.0补仓!G28</f>
        <v/>
      </c>
      <c r="I28" s="61">
        <f>G28+H28</f>
        <v/>
      </c>
      <c r="J28" s="62">
        <f t="array" ref="J28">_xlfn.IFS(AND(I28&gt;=-15%,I28&lt;=0),1,AND(I28&gt;=-30%,I28&lt;-15%),2,AND(I28&gt;=-45%,I28&lt;-30%),3,AND(I28&gt;=-60%,I28&lt;-45%),4,AND(I28&gt;=-75%,I28&lt;-60%),5,AND(I28&gt;=-90%,I28&lt;-75%),6,TRUE,"")</f>
        <v/>
      </c>
      <c r="K28" s="47" t="n"/>
      <c r="L28" s="47">
        <f>J28*K28</f>
        <v/>
      </c>
      <c r="M28" s="47">
        <f>场外1.0补仓!I28*L28</f>
        <v/>
      </c>
      <c r="N28" s="45" t="inlineStr">
        <is>
          <t>否</t>
        </is>
      </c>
      <c r="O28" s="40">
        <f>IF(N28="是",IF(I28&lt;0,INT(-I28*100),"0"),"")</f>
        <v/>
      </c>
      <c r="P28" s="46">
        <f>O28*L28</f>
        <v/>
      </c>
    </row>
    <row r="29">
      <c r="A29" s="28" t="n"/>
      <c r="B29" s="29" t="n"/>
      <c r="C29" s="22" t="n"/>
      <c r="D29" s="60" t="n"/>
      <c r="E29" s="74" t="n"/>
      <c r="F29" s="8">
        <f>IF(E29&lt;&gt;"",E29-D29,0)</f>
        <v/>
      </c>
      <c r="G29" s="61">
        <f>(F29/D29)*100%</f>
        <v/>
      </c>
      <c r="H29" s="61">
        <f>场外1.0补仓!G29</f>
        <v/>
      </c>
      <c r="I29" s="61">
        <f>G29+H29</f>
        <v/>
      </c>
      <c r="J29" s="62">
        <f t="array" ref="J29">_xlfn.IFS(AND(I29&gt;=-15%,I29&lt;=0),1,AND(I29&gt;=-30%,I29&lt;-15%),2,AND(I29&gt;=-45%,I29&lt;-30%),3,AND(I29&gt;=-60%,I29&lt;-45%),4,AND(I29&gt;=-75%,I29&lt;-60%),5,AND(I29&gt;=-90%,I29&lt;-75%),6,TRUE,"")</f>
        <v/>
      </c>
      <c r="K29" s="47" t="n"/>
      <c r="L29" s="47">
        <f>J29*K29</f>
        <v/>
      </c>
      <c r="M29" s="47">
        <f>场外1.0补仓!I29*L29</f>
        <v/>
      </c>
      <c r="N29" s="45" t="inlineStr">
        <is>
          <t>否</t>
        </is>
      </c>
      <c r="O29" s="40">
        <f>IF(N29="是",IF(I29&lt;0,INT(-I29*100),"0"),"")</f>
        <v/>
      </c>
      <c r="P29" s="46">
        <f>O29*L29</f>
        <v/>
      </c>
    </row>
  </sheetData>
  <conditionalFormatting sqref="F2:I29">
    <cfRule type="cellIs" priority="3" operator="greaterThan" dxfId="1">
      <formula>0</formula>
    </cfRule>
    <cfRule type="cellIs" priority="4" operator="lessThan" dxfId="5">
      <formula>0</formula>
    </cfRule>
    <cfRule type="cellIs" priority="5" operator="equal" dxfId="6">
      <formula>0</formula>
    </cfRule>
  </conditionalFormatting>
  <conditionalFormatting sqref="M2:N29">
    <cfRule type="cellIs" priority="1" operator="greaterThan" dxfId="7">
      <formula>0</formula>
    </cfRule>
    <cfRule type="cellIs" priority="2" operator="equal" dxfId="4">
      <formula>0</formula>
    </cfRule>
  </conditionalFormatting>
  <dataValidations count="1">
    <dataValidation sqref="N2:N29" showDropDown="0" showInputMessage="1" showErrorMessage="1" allowBlank="1" type="list">
      <formula1>"是,否"</formula1>
    </dataValidation>
  </dataValidations>
  <pageMargins left="0.7" right="0.7" top="0.75" bottom="0.75" header="0.3" footer="0.3"/>
  <pageSetup orientation="portrait" paperSize="9" horizontalDpi="180" verticalDpi="18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9"/>
  <sheetViews>
    <sheetView tabSelected="1" workbookViewId="0">
      <selection activeCell="K32" sqref="K32"/>
    </sheetView>
  </sheetViews>
  <sheetFormatPr baseColWidth="8" defaultColWidth="9" defaultRowHeight="14.25"/>
  <cols>
    <col width="19.125" customWidth="1" min="1" max="1"/>
    <col width="7.75" customWidth="1" min="2" max="2"/>
    <col width="34.125" customWidth="1" min="3" max="3"/>
    <col width="12" customWidth="1" min="4" max="4"/>
    <col width="8.625" customWidth="1" min="5" max="5"/>
    <col width="10" customWidth="1" min="6" max="6"/>
    <col width="11.875" customWidth="1" min="7" max="7"/>
    <col width="7" customWidth="1" min="8" max="8"/>
    <col width="8.625" customWidth="1" min="9" max="9"/>
    <col width="24.5" customWidth="1" min="10" max="10"/>
    <col width="38.75" customWidth="1" min="11" max="11"/>
    <col width="8.875" customWidth="1" min="12" max="12"/>
    <col width="8" customWidth="1" min="13" max="13"/>
    <col width="7.8" customWidth="1" min="14" max="14"/>
    <col width="12" customWidth="1" min="15" max="15"/>
    <col width="10.875" customWidth="1" min="16" max="16"/>
    <col width="12" customWidth="1" min="17" max="17"/>
    <col width="8.5" customWidth="1" min="18" max="18"/>
    <col width="8.875" customWidth="1" min="19" max="19"/>
    <col width="7.75" customWidth="1" min="20" max="20"/>
    <col width="8.875" customWidth="1" min="21" max="21"/>
    <col width="12.875" customWidth="1" min="22" max="22"/>
    <col width="12" customWidth="1" min="23" max="23"/>
    <col width="8.875" customWidth="1" min="24" max="24"/>
    <col width="14" customWidth="1" min="25" max="25"/>
    <col width="11.75" customWidth="1" min="26" max="26"/>
    <col width="12" customWidth="1" min="27" max="27"/>
    <col width="12.125" customWidth="1" min="28" max="28"/>
    <col width="5.125" customWidth="1" min="29" max="29"/>
    <col width="28" customWidth="1" min="30" max="30"/>
    <col width="13" customWidth="1" min="31" max="32"/>
    <col width="13" customWidth="1" min="32" max="32"/>
  </cols>
  <sheetData>
    <row r="1" ht="20.4" customHeight="1">
      <c r="A1" s="25" t="inlineStr">
        <is>
          <t>类型</t>
        </is>
      </c>
      <c r="B1" s="25" t="inlineStr">
        <is>
          <t>代码</t>
        </is>
      </c>
      <c r="C1" s="25" t="inlineStr">
        <is>
          <t>基金名</t>
        </is>
      </c>
      <c r="D1" s="25" t="inlineStr">
        <is>
          <t>历史最高净值</t>
        </is>
      </c>
      <c r="E1" s="25" t="inlineStr">
        <is>
          <t>最新净值</t>
        </is>
      </c>
      <c r="F1" s="25" t="inlineStr">
        <is>
          <t>当日涨跌幅</t>
        </is>
      </c>
      <c r="G1" s="25" t="inlineStr">
        <is>
          <t>净值回撤幅度（历史总幅度）</t>
        </is>
      </c>
      <c r="H1" s="25" t="inlineStr">
        <is>
          <t>RSI(14)</t>
        </is>
      </c>
      <c r="I1" s="25" t="inlineStr">
        <is>
          <t>信号</t>
        </is>
      </c>
      <c r="J1" s="25" t="inlineStr">
        <is>
          <t>PE/PB估值分位</t>
        </is>
      </c>
      <c r="K1" s="25" t="inlineStr">
        <is>
          <t>综合信号</t>
        </is>
      </c>
      <c r="L1" s="25" t="inlineStr">
        <is>
          <t>操作建议</t>
        </is>
      </c>
      <c r="M1" s="25" t="inlineStr">
        <is>
          <t>倍投等级</t>
        </is>
      </c>
      <c r="N1" s="25" t="inlineStr">
        <is>
          <t>倍投基数</t>
        </is>
      </c>
      <c r="O1" s="25" t="inlineStr">
        <is>
          <t>补仓锚点净值</t>
        </is>
      </c>
      <c r="P1" s="25" t="inlineStr">
        <is>
          <t>近期涨跌幅</t>
        </is>
      </c>
      <c r="Q1" s="25" t="inlineStr">
        <is>
          <t>近期总涨跌幅</t>
        </is>
      </c>
      <c r="R1" s="25" t="inlineStr">
        <is>
          <t>补仓份数</t>
        </is>
      </c>
      <c r="S1" s="25" t="inlineStr">
        <is>
          <t>补仓单价</t>
        </is>
      </c>
      <c r="T1" s="25" t="inlineStr">
        <is>
          <t>补仓倍数(最终)</t>
        </is>
      </c>
      <c r="U1" s="25" t="inlineStr">
        <is>
          <t>补仓金额</t>
        </is>
      </c>
      <c r="V1" s="25" t="inlineStr">
        <is>
          <t>最近底谷日期</t>
        </is>
      </c>
      <c r="W1" s="25" t="inlineStr">
        <is>
          <t>最近底谷净值</t>
        </is>
      </c>
      <c r="X1" s="25" t="inlineStr">
        <is>
          <t>上涨幅度（近期）</t>
        </is>
      </c>
      <c r="Y1" s="25" t="inlineStr">
        <is>
          <t>止盈建议</t>
        </is>
      </c>
      <c r="Z1" s="26" t="inlineStr">
        <is>
          <t>是否首次建仓</t>
        </is>
      </c>
      <c r="AA1" s="26" t="inlineStr">
        <is>
          <t>首次建仓份数</t>
        </is>
      </c>
      <c r="AB1" s="26" t="inlineStr">
        <is>
          <t>首次建仓金额</t>
        </is>
      </c>
      <c r="AC1" s="25" t="inlineStr">
        <is>
          <t>分组</t>
        </is>
      </c>
      <c r="AD1" s="27" t="inlineStr">
        <is>
          <t>基本面状态</t>
        </is>
      </c>
    </row>
    <row r="2">
      <c r="A2" s="28" t="inlineStr">
        <is>
          <t>黄金</t>
        </is>
      </c>
      <c r="B2" s="29" t="inlineStr">
        <is>
          <t>000218</t>
        </is>
      </c>
      <c r="C2" s="22" t="inlineStr">
        <is>
          <t>国泰黄金ETF联接A</t>
        </is>
      </c>
      <c r="D2" s="75" t="n">
        <v>4.4715</v>
      </c>
      <c r="E2" s="75" t="n">
        <v>3.1896</v>
      </c>
      <c r="F2" s="31" t="n">
        <v>-0.0103</v>
      </c>
      <c r="G2" s="32">
        <f>(E2-D2)/D2+F2</f>
        <v/>
      </c>
      <c r="H2" s="76" t="n">
        <v>37.5</v>
      </c>
      <c r="I2" s="34" t="inlineStr">
        <is>
          <t>偏弱</t>
        </is>
      </c>
      <c r="J2" s="34" t="inlineStr">
        <is>
          <t>商品基金无PE/PB估值</t>
        </is>
      </c>
      <c r="K2" s="77" t="inlineStr">
        <is>
          <t>回撤达标但RSI未超卖，等待</t>
        </is>
      </c>
      <c r="L2" s="78" t="inlineStr">
        <is>
          <t>关注</t>
        </is>
      </c>
      <c r="M2" s="36" t="inlineStr">
        <is>
          <t>倍投3级</t>
        </is>
      </c>
      <c r="N2" s="37" t="n">
        <v>2</v>
      </c>
      <c r="O2" s="79" t="n">
        <v>3.8354</v>
      </c>
      <c r="P2" s="31">
        <f>(E2-O2)/O2</f>
        <v/>
      </c>
      <c r="Q2" s="31">
        <f>F2+P2</f>
        <v/>
      </c>
      <c r="R2" s="39">
        <f>IF(OR(L2="强烈补仓",L2="建议补仓",L2="可补仓"),MAX(IF(Q2&lt;0,INT(-Q2*100),0),1),0)</f>
        <v/>
      </c>
      <c r="S2" s="40" t="n">
        <v>10</v>
      </c>
      <c r="T2" s="40">
        <f>N2*R2</f>
        <v/>
      </c>
      <c r="U2" s="40">
        <f>S2*T2</f>
        <v/>
      </c>
      <c r="V2" s="41" t="inlineStr">
        <is>
          <t>2026-07-01</t>
        </is>
      </c>
      <c r="W2" s="80" t="n">
        <v>3.1391</v>
      </c>
      <c r="X2" s="43">
        <f>((E2-W2)/W2)+F2</f>
        <v/>
      </c>
      <c r="Y2" s="81" t="n"/>
      <c r="Z2" s="45" t="inlineStr">
        <is>
          <t>是</t>
        </is>
      </c>
      <c r="AA2" s="40">
        <f>IF(Z2="是",IF(G2&lt;0,INT(-G2*100),"0")*N2,"")</f>
        <v/>
      </c>
      <c r="AB2" s="46">
        <f>AA2*S2</f>
        <v/>
      </c>
      <c r="AC2" s="47" t="inlineStr">
        <is>
          <t>持有</t>
        </is>
      </c>
      <c r="AD2" s="82" t="inlineStr">
        <is>
          <t>—</t>
        </is>
      </c>
    </row>
    <row r="3">
      <c r="A3" s="28" t="inlineStr">
        <is>
          <t>商业航天</t>
        </is>
      </c>
      <c r="B3" s="29" t="inlineStr">
        <is>
          <t>024194</t>
        </is>
      </c>
      <c r="C3" s="22" t="inlineStr">
        <is>
          <t>永赢国证商用卫星通信产业ETF联接A</t>
        </is>
      </c>
      <c r="D3" s="75" t="n">
        <v>1.9691</v>
      </c>
      <c r="E3" s="75" t="n">
        <v>1.1902</v>
      </c>
      <c r="F3" s="31" t="n">
        <v>-0.0366</v>
      </c>
      <c r="G3" s="32">
        <f>(E3-D3)/D3+F3</f>
        <v/>
      </c>
      <c r="H3" s="76" t="n">
        <v>23.4</v>
      </c>
      <c r="I3" s="34" t="inlineStr">
        <is>
          <t>超卖</t>
        </is>
      </c>
      <c r="J3" s="34" t="inlineStr">
        <is>
          <t>指数PE/PB数据暂缺</t>
        </is>
      </c>
      <c r="K3" s="77" t="inlineStr">
        <is>
          <t>回撤深+RSI超卖（黄金/主动基金适用）</t>
        </is>
      </c>
      <c r="L3" s="85" t="inlineStr">
        <is>
          <t>建议补仓</t>
        </is>
      </c>
      <c r="M3" s="36" t="inlineStr">
        <is>
          <t>倍投4级</t>
        </is>
      </c>
      <c r="N3" s="37" t="n">
        <v>3</v>
      </c>
      <c r="O3" s="79" t="n">
        <v>1.2479</v>
      </c>
      <c r="P3" s="31">
        <f>(E3-O3)/O3</f>
        <v/>
      </c>
      <c r="Q3" s="31">
        <f>F3+P3</f>
        <v/>
      </c>
      <c r="R3" s="39">
        <f>IF(OR(L3="强烈补仓",L3="建议补仓",L3="可补仓"),MAX(IF(Q3&lt;0,INT(-Q3*100),0),1),0)</f>
        <v/>
      </c>
      <c r="S3" s="40" t="n">
        <v>10</v>
      </c>
      <c r="T3" s="40">
        <f>N3*R3</f>
        <v/>
      </c>
      <c r="U3" s="40">
        <f>S3*T3</f>
        <v/>
      </c>
      <c r="V3" s="41" t="inlineStr">
        <is>
          <t>2026-07-20</t>
        </is>
      </c>
      <c r="W3" s="80" t="n">
        <v>1.1804</v>
      </c>
      <c r="X3" s="43">
        <f>((E3-W3)/W3)+F3</f>
        <v/>
      </c>
      <c r="Y3" s="81" t="n"/>
      <c r="Z3" s="45" t="inlineStr">
        <is>
          <t>是</t>
        </is>
      </c>
      <c r="AA3" s="40">
        <f>IF(Z3="是",IF(G3&lt;0,INT(-G3*100),"0")*N3,"")</f>
        <v/>
      </c>
      <c r="AB3" s="46">
        <f>AA3*S3</f>
        <v/>
      </c>
      <c r="AC3" s="47" t="inlineStr">
        <is>
          <t>持有</t>
        </is>
      </c>
      <c r="AD3" s="50" t="inlineStr">
        <is>
          <t>待检查</t>
        </is>
      </c>
    </row>
    <row r="4">
      <c r="A4" s="28" t="inlineStr">
        <is>
          <t>超导/核聚变</t>
        </is>
      </c>
      <c r="B4" s="72" t="inlineStr">
        <is>
          <t>024202</t>
        </is>
      </c>
      <c r="C4" s="22" t="inlineStr">
        <is>
          <t>永赢制造升级智选混合A</t>
        </is>
      </c>
      <c r="D4" s="75" t="n">
        <v>1.8609</v>
      </c>
      <c r="E4" s="75" t="n">
        <v>1.2664</v>
      </c>
      <c r="F4" s="31" t="n">
        <v>-0.0357</v>
      </c>
      <c r="G4" s="32">
        <f>(E4-D4)/D4+F4</f>
        <v/>
      </c>
      <c r="H4" s="76" t="n">
        <v>23.4</v>
      </c>
      <c r="I4" s="34" t="inlineStr">
        <is>
          <t>超卖</t>
        </is>
      </c>
      <c r="J4" s="34" t="inlineStr">
        <is>
          <t>主动基金无指数估值</t>
        </is>
      </c>
      <c r="K4" s="77" t="inlineStr">
        <is>
          <t>回撤达标+RSI超卖，择机补仓</t>
        </is>
      </c>
      <c r="L4" s="83" t="inlineStr">
        <is>
          <t>可补仓</t>
        </is>
      </c>
      <c r="M4" s="36" t="inlineStr">
        <is>
          <t>倍投3级</t>
        </is>
      </c>
      <c r="N4" s="37" t="n">
        <v>2</v>
      </c>
      <c r="O4" s="79" t="n">
        <v>1.2824</v>
      </c>
      <c r="P4" s="31">
        <f>(E4-O4)/O4</f>
        <v/>
      </c>
      <c r="Q4" s="31">
        <f>F4+P4</f>
        <v/>
      </c>
      <c r="R4" s="39">
        <f>IF(OR(L4="强烈补仓",L4="建议补仓",L4="可补仓"),MAX(IF(Q4&lt;0,INT(-Q4*100),0),1),0)</f>
        <v/>
      </c>
      <c r="S4" s="40" t="n">
        <v>10</v>
      </c>
      <c r="T4" s="40">
        <f>N4*R4</f>
        <v/>
      </c>
      <c r="U4" s="40">
        <f>S4*T4</f>
        <v/>
      </c>
      <c r="V4" s="41" t="inlineStr">
        <is>
          <t>2026-07-20</t>
        </is>
      </c>
      <c r="W4" s="80" t="n">
        <v>1.2472</v>
      </c>
      <c r="X4" s="43">
        <f>((E4-W4)/W4)+F4</f>
        <v/>
      </c>
      <c r="Y4" s="81" t="n"/>
      <c r="Z4" s="45" t="inlineStr">
        <is>
          <t>是</t>
        </is>
      </c>
      <c r="AA4" s="40">
        <f>IF(Z4="是",IF(G4&lt;0,INT(-G4*100),"0")*N4,"")</f>
        <v/>
      </c>
      <c r="AB4" s="46">
        <f>AA4*S4</f>
        <v/>
      </c>
      <c r="AC4" s="47" t="inlineStr">
        <is>
          <t>持有</t>
        </is>
      </c>
      <c r="AD4" s="82" t="inlineStr">
        <is>
          <t>—</t>
        </is>
      </c>
    </row>
    <row r="5">
      <c r="A5" s="28" t="inlineStr">
        <is>
          <t>军工</t>
        </is>
      </c>
      <c r="B5" s="29" t="inlineStr">
        <is>
          <t>001475</t>
        </is>
      </c>
      <c r="C5" s="22" t="inlineStr">
        <is>
          <t>易方达国防军工混合A</t>
        </is>
      </c>
      <c r="D5" s="75" t="n">
        <v>2.378</v>
      </c>
      <c r="E5" s="75" t="n">
        <v>2</v>
      </c>
      <c r="F5" s="31" t="n">
        <v>-0.0491</v>
      </c>
      <c r="G5" s="32">
        <f>(E5-D5)/D5+F5</f>
        <v/>
      </c>
      <c r="H5" s="76" t="n">
        <v>22.8</v>
      </c>
      <c r="I5" s="34" t="inlineStr">
        <is>
          <t>超卖</t>
        </is>
      </c>
      <c r="J5" s="34" t="inlineStr">
        <is>
          <t>PB=3.16 适中</t>
        </is>
      </c>
      <c r="K5" s="77" t="inlineStr">
        <is>
          <t>回撤尚浅，等跌幅加深</t>
        </is>
      </c>
      <c r="L5" s="86" t="inlineStr">
        <is>
          <t>观望</t>
        </is>
      </c>
      <c r="M5" s="36" t="inlineStr">
        <is>
          <t>倍投1级</t>
        </is>
      </c>
      <c r="N5" s="37" t="n">
        <v>1</v>
      </c>
      <c r="O5" s="79" t="n">
        <v>2.378</v>
      </c>
      <c r="P5" s="31">
        <f>(E5-O5)/O5</f>
        <v/>
      </c>
      <c r="Q5" s="31">
        <f>F5+P5</f>
        <v/>
      </c>
      <c r="R5" s="39">
        <f>IF(OR(L5="强烈补仓",L5="建议补仓",L5="可补仓"),MAX(IF(Q5&lt;0,INT(-Q5*100),0),1),0)</f>
        <v/>
      </c>
      <c r="S5" s="40" t="n">
        <v>10</v>
      </c>
      <c r="T5" s="40">
        <f>N5*R5</f>
        <v/>
      </c>
      <c r="U5" s="40">
        <f>S5*T5</f>
        <v/>
      </c>
      <c r="V5" s="41" t="inlineStr">
        <is>
          <t>2026-07-20</t>
        </is>
      </c>
      <c r="W5" s="80" t="n">
        <v>1.955</v>
      </c>
      <c r="X5" s="43">
        <f>((E5-W5)/W5)+F5</f>
        <v/>
      </c>
      <c r="Y5" s="81" t="n"/>
      <c r="Z5" s="45" t="inlineStr">
        <is>
          <t>是</t>
        </is>
      </c>
      <c r="AA5" s="40">
        <f>IF(Z5="是",IF(G5&lt;0,INT(-G5*100),"0")*N5,"")</f>
        <v/>
      </c>
      <c r="AB5" s="46">
        <f>AA5*S5</f>
        <v/>
      </c>
      <c r="AC5" s="47" t="inlineStr">
        <is>
          <t>持有</t>
        </is>
      </c>
      <c r="AD5" s="82" t="inlineStr">
        <is>
          <t>—</t>
        </is>
      </c>
    </row>
    <row r="6">
      <c r="A6" s="28" t="inlineStr">
        <is>
          <t>互金/金融IT</t>
        </is>
      </c>
      <c r="B6" s="72" t="inlineStr">
        <is>
          <t>013477</t>
        </is>
      </c>
      <c r="C6" s="17" t="inlineStr">
        <is>
          <t>华宝中证金融科技主题ETF联接A</t>
        </is>
      </c>
      <c r="D6" s="75" t="n">
        <v>1.3333</v>
      </c>
      <c r="E6" s="75" t="n">
        <v>0.794</v>
      </c>
      <c r="F6" s="31" t="n">
        <v>0.0063</v>
      </c>
      <c r="G6" s="32">
        <f>(E6-D6)/D6+F6</f>
        <v/>
      </c>
      <c r="H6" s="76" t="n">
        <v>43.6</v>
      </c>
      <c r="I6" s="34" t="inlineStr">
        <is>
          <t>偏弱</t>
        </is>
      </c>
      <c r="J6" s="34" t="inlineStr">
        <is>
          <t>PE=31.3 适中</t>
        </is>
      </c>
      <c r="K6" s="77" t="inlineStr">
        <is>
          <t>回撤深但RSI未超卖，择机补仓</t>
        </is>
      </c>
      <c r="L6" s="83" t="inlineStr">
        <is>
          <t>可补仓</t>
        </is>
      </c>
      <c r="M6" s="36" t="inlineStr">
        <is>
          <t>倍投5级</t>
        </is>
      </c>
      <c r="N6" s="37" t="n">
        <v>4</v>
      </c>
      <c r="O6" s="79" t="n">
        <v>0.8226</v>
      </c>
      <c r="P6" s="31">
        <f>(E6-O6)/O6</f>
        <v/>
      </c>
      <c r="Q6" s="31">
        <f>F6+P6</f>
        <v/>
      </c>
      <c r="R6" s="39">
        <f>IF(OR(L6="强烈补仓",L6="建议补仓",L6="可补仓"),MAX(IF(Q6&lt;0,INT(-Q6*100),0),1),0)</f>
        <v/>
      </c>
      <c r="S6" s="40" t="n">
        <v>10</v>
      </c>
      <c r="T6" s="40">
        <f>N6*R6</f>
        <v/>
      </c>
      <c r="U6" s="40">
        <f>S6*T6</f>
        <v/>
      </c>
      <c r="V6" s="41" t="inlineStr">
        <is>
          <t>2026-07-24</t>
        </is>
      </c>
      <c r="W6" s="80" t="n">
        <v>0.7707000000000001</v>
      </c>
      <c r="X6" s="43">
        <f>((E6-W6)/W6)+F6</f>
        <v/>
      </c>
      <c r="Y6" s="81" t="n"/>
      <c r="Z6" s="45" t="inlineStr">
        <is>
          <t>是</t>
        </is>
      </c>
      <c r="AA6" s="40">
        <f>IF(Z6="是",IF(G6&lt;0,INT(-G6*100),"0")*N6,"")</f>
        <v/>
      </c>
      <c r="AB6" s="46">
        <f>AA6*S6</f>
        <v/>
      </c>
      <c r="AC6" s="47" t="inlineStr">
        <is>
          <t>持有</t>
        </is>
      </c>
      <c r="AD6" s="50" t="inlineStr">
        <is>
          <t>待检查</t>
        </is>
      </c>
    </row>
    <row r="7">
      <c r="A7" s="28" t="inlineStr">
        <is>
          <t>A股+港股(医药均衡)</t>
        </is>
      </c>
      <c r="B7" s="29" t="inlineStr">
        <is>
          <t>005453</t>
        </is>
      </c>
      <c r="C7" s="22" t="inlineStr">
        <is>
          <t>前海开源医疗健康混合A</t>
        </is>
      </c>
      <c r="D7" s="75" t="n">
        <v>3.4821</v>
      </c>
      <c r="E7" s="75" t="n">
        <v>1.1367</v>
      </c>
      <c r="F7" s="31" t="n">
        <v>-0.0179</v>
      </c>
      <c r="G7" s="32">
        <f>(E7-D7)/D7+F7</f>
        <v/>
      </c>
      <c r="H7" s="76" t="n">
        <v>51.8</v>
      </c>
      <c r="I7" s="34" t="inlineStr">
        <is>
          <t>中性</t>
        </is>
      </c>
      <c r="J7" s="34" t="inlineStr">
        <is>
          <t>PE=33.5 适中</t>
        </is>
      </c>
      <c r="K7" s="77" t="inlineStr">
        <is>
          <t>回撤极深+估值低位，择机补仓（反弹中降级）</t>
        </is>
      </c>
      <c r="L7" s="83" t="inlineStr">
        <is>
          <t>可补仓</t>
        </is>
      </c>
      <c r="M7" s="36" t="inlineStr">
        <is>
          <t>极限3级</t>
        </is>
      </c>
      <c r="N7" s="37" t="n">
        <v>7</v>
      </c>
      <c r="O7" s="79" t="n">
        <v>1.2217</v>
      </c>
      <c r="P7" s="31">
        <f>(E7-O7)/O7</f>
        <v/>
      </c>
      <c r="Q7" s="31">
        <f>F7+P7</f>
        <v/>
      </c>
      <c r="R7" s="39">
        <f>IF(OR(L7="强烈补仓",L7="建议补仓",L7="可补仓"),MAX(IF(Q7&lt;0,INT(-Q7*100),0),1),0)</f>
        <v/>
      </c>
      <c r="S7" s="40" t="n">
        <v>10</v>
      </c>
      <c r="T7" s="40">
        <f>N7*R7</f>
        <v/>
      </c>
      <c r="U7" s="40">
        <f>S7*T7</f>
        <v/>
      </c>
      <c r="V7" s="41" t="inlineStr">
        <is>
          <t>2026-06-09</t>
        </is>
      </c>
      <c r="W7" s="80" t="n">
        <v>0.9073</v>
      </c>
      <c r="X7" s="43">
        <f>((E7-W7)/W7)+F7</f>
        <v/>
      </c>
      <c r="Y7" s="81" t="n"/>
      <c r="Z7" s="45" t="inlineStr">
        <is>
          <t>是</t>
        </is>
      </c>
      <c r="AA7" s="40">
        <f>IF(Z7="是",IF(G7&lt;0,INT(-G7*100),"0")*N7,"")</f>
        <v/>
      </c>
      <c r="AB7" s="46">
        <f>AA7*S7</f>
        <v/>
      </c>
      <c r="AC7" s="47" t="inlineStr">
        <is>
          <t>持有</t>
        </is>
      </c>
      <c r="AD7" s="50" t="inlineStr">
        <is>
          <t>待检查</t>
        </is>
      </c>
    </row>
    <row r="8">
      <c r="A8" s="28" t="inlineStr">
        <is>
          <t>消费</t>
        </is>
      </c>
      <c r="B8" s="29" t="inlineStr">
        <is>
          <t>008928</t>
        </is>
      </c>
      <c r="C8" s="22" t="inlineStr">
        <is>
          <t>泰达宏利中证主要消费红利指数A</t>
        </is>
      </c>
      <c r="D8" s="75" t="n">
        <v>1.9384</v>
      </c>
      <c r="E8" s="75" t="n">
        <v>1.3335</v>
      </c>
      <c r="F8" s="31" t="n">
        <v>0.0171</v>
      </c>
      <c r="G8" s="32">
        <f>(E8-D8)/D8+F8</f>
        <v/>
      </c>
      <c r="H8" s="76" t="n">
        <v>68.2</v>
      </c>
      <c r="I8" s="34" t="inlineStr">
        <is>
          <t>中性</t>
        </is>
      </c>
      <c r="J8" s="34" t="inlineStr">
        <is>
          <t>PE=20.6 适中</t>
        </is>
      </c>
      <c r="K8" s="77" t="inlineStr">
        <is>
          <t>回撤达标但RSI未超卖，等待（反弹中）</t>
        </is>
      </c>
      <c r="L8" s="78" t="inlineStr">
        <is>
          <t>关注</t>
        </is>
      </c>
      <c r="M8" s="36" t="inlineStr">
        <is>
          <t>倍投3级</t>
        </is>
      </c>
      <c r="N8" s="37" t="n">
        <v>2</v>
      </c>
      <c r="O8" s="79" t="n">
        <v>1.3443</v>
      </c>
      <c r="P8" s="31">
        <f>(E8-O8)/O8</f>
        <v/>
      </c>
      <c r="Q8" s="31">
        <f>F8+P8</f>
        <v/>
      </c>
      <c r="R8" s="39">
        <f>IF(OR(L8="强烈补仓",L8="建议补仓",L8="可补仓"),MAX(IF(Q8&lt;0,INT(-Q8*100),0),1),0)</f>
        <v/>
      </c>
      <c r="S8" s="40" t="n">
        <v>10</v>
      </c>
      <c r="T8" s="40">
        <f>N8*R8</f>
        <v/>
      </c>
      <c r="U8" s="40">
        <f>S8*T8</f>
        <v/>
      </c>
      <c r="V8" s="41" t="inlineStr">
        <is>
          <t>2026-06-26</t>
        </is>
      </c>
      <c r="W8" s="80" t="n">
        <v>1.2482</v>
      </c>
      <c r="X8" s="43">
        <f>((E8-W8)/W8)+F8</f>
        <v/>
      </c>
      <c r="Y8" s="81" t="n"/>
      <c r="Z8" s="45" t="inlineStr">
        <is>
          <t>是</t>
        </is>
      </c>
      <c r="AA8" s="40">
        <f>IF(Z8="是",IF(G8&lt;0,INT(-G8*100),"0")*N8,"")</f>
        <v/>
      </c>
      <c r="AB8" s="46">
        <f>AA8*S8</f>
        <v/>
      </c>
      <c r="AC8" s="47" t="inlineStr">
        <is>
          <t>持有</t>
        </is>
      </c>
      <c r="AD8" s="50" t="inlineStr">
        <is>
          <t>待检查</t>
        </is>
      </c>
    </row>
    <row r="9">
      <c r="A9" s="28" t="inlineStr">
        <is>
          <t>CXO+创新药</t>
        </is>
      </c>
      <c r="B9" s="29" t="inlineStr">
        <is>
          <t>003095</t>
        </is>
      </c>
      <c r="C9" s="22" t="inlineStr">
        <is>
          <t>中欧医疗健康混合A</t>
        </is>
      </c>
      <c r="D9" s="75" t="n">
        <v>4.31</v>
      </c>
      <c r="E9" s="75" t="n">
        <v>1.9193</v>
      </c>
      <c r="F9" s="31" t="n">
        <v>-0.0264</v>
      </c>
      <c r="G9" s="32">
        <f>(E9-D9)/D9+F9</f>
        <v/>
      </c>
      <c r="H9" s="76" t="n">
        <v>48.2</v>
      </c>
      <c r="I9" s="34" t="inlineStr">
        <is>
          <t>中性</t>
        </is>
      </c>
      <c r="J9" s="34" t="inlineStr">
        <is>
          <t>PE=28.8 适中</t>
        </is>
      </c>
      <c r="K9" s="77" t="inlineStr">
        <is>
          <t>回撤极深+估值低位，择机补仓（反弹中降级）</t>
        </is>
      </c>
      <c r="L9" s="83" t="inlineStr">
        <is>
          <t>可补仓</t>
        </is>
      </c>
      <c r="M9" s="36" t="inlineStr">
        <is>
          <t>极限2级</t>
        </is>
      </c>
      <c r="N9" s="37" t="n">
        <v>6</v>
      </c>
      <c r="O9" s="79" t="n">
        <v>2.1116</v>
      </c>
      <c r="P9" s="31">
        <f>(E9-O9)/O9</f>
        <v/>
      </c>
      <c r="Q9" s="31">
        <f>F9+P9</f>
        <v/>
      </c>
      <c r="R9" s="39">
        <f>IF(OR(L9="强烈补仓",L9="建议补仓",L9="可补仓"),MAX(IF(Q9&lt;0,INT(-Q9*100),0),1),0)</f>
        <v/>
      </c>
      <c r="S9" s="40" t="n">
        <v>10</v>
      </c>
      <c r="T9" s="40">
        <f>N9*R9</f>
        <v/>
      </c>
      <c r="U9" s="40">
        <f>S9*T9</f>
        <v/>
      </c>
      <c r="V9" s="41" t="inlineStr">
        <is>
          <t>2026-06-08</t>
        </is>
      </c>
      <c r="W9" s="80" t="n">
        <v>1.4955</v>
      </c>
      <c r="X9" s="43">
        <f>((E9-W9)/W9)+F9</f>
        <v/>
      </c>
      <c r="Y9" s="81" t="n"/>
      <c r="Z9" s="45" t="inlineStr">
        <is>
          <t>是</t>
        </is>
      </c>
      <c r="AA9" s="40">
        <f>IF(Z9="是",IF(G9&lt;0,INT(-G9*100),"0")*N9,"")</f>
        <v/>
      </c>
      <c r="AB9" s="46">
        <f>AA9*S9</f>
        <v/>
      </c>
      <c r="AC9" s="47" t="inlineStr">
        <is>
          <t>持有</t>
        </is>
      </c>
      <c r="AD9" s="50" t="inlineStr">
        <is>
          <t>待检查</t>
        </is>
      </c>
    </row>
    <row r="10">
      <c r="A10" s="28" t="inlineStr">
        <is>
          <t>光伏</t>
        </is>
      </c>
      <c r="B10" s="72" t="inlineStr">
        <is>
          <t>011102</t>
        </is>
      </c>
      <c r="C10" s="22" t="inlineStr">
        <is>
          <t>天弘中证光伏产业指数A</t>
        </is>
      </c>
      <c r="D10" s="75" t="n">
        <v>1.5245</v>
      </c>
      <c r="E10" s="75" t="n">
        <v>0.6985</v>
      </c>
      <c r="F10" s="31" t="n">
        <v>-0.0235</v>
      </c>
      <c r="G10" s="32">
        <f>(E10-D10)/D10+F10</f>
        <v/>
      </c>
      <c r="H10" s="76" t="n">
        <v>28.3</v>
      </c>
      <c r="I10" s="34" t="inlineStr">
        <is>
          <t>超卖</t>
        </is>
      </c>
      <c r="J10" s="34" t="inlineStr">
        <is>
          <t>PB=3.76 高估</t>
        </is>
      </c>
      <c r="K10" s="77" t="inlineStr">
        <is>
          <t>回撤深+RSI超卖，但估值偏高需谨慎</t>
        </is>
      </c>
      <c r="L10" s="83" t="inlineStr">
        <is>
          <t>可补仓</t>
        </is>
      </c>
      <c r="M10" s="36" t="inlineStr">
        <is>
          <t>极限1级</t>
        </is>
      </c>
      <c r="N10" s="37" t="n">
        <v>5</v>
      </c>
      <c r="O10" s="79" t="n">
        <v>0.7234</v>
      </c>
      <c r="P10" s="31">
        <f>(E10-O10)/O10</f>
        <v/>
      </c>
      <c r="Q10" s="31">
        <f>F10+P10</f>
        <v/>
      </c>
      <c r="R10" s="39">
        <f>IF(OR(L10="强烈补仓",L10="建议补仓",L10="可补仓"),MAX(IF(Q10&lt;0,INT(-Q10*100),0),1),0)</f>
        <v/>
      </c>
      <c r="S10" s="40" t="n">
        <v>10</v>
      </c>
      <c r="T10" s="40">
        <f>N10*R10</f>
        <v/>
      </c>
      <c r="U10" s="40">
        <f>S10*T10</f>
        <v/>
      </c>
      <c r="V10" s="41" t="inlineStr">
        <is>
          <t>2026-07-20</t>
        </is>
      </c>
      <c r="W10" s="80" t="n">
        <v>0.6782</v>
      </c>
      <c r="X10" s="43">
        <f>((E10-W10)/W10)+F10</f>
        <v/>
      </c>
      <c r="Y10" s="81" t="n"/>
      <c r="Z10" s="45" t="inlineStr">
        <is>
          <t>是</t>
        </is>
      </c>
      <c r="AA10" s="40">
        <f>IF(Z10="是",IF(G10&lt;0,INT(-G10*100),"0")*N10,"")</f>
        <v/>
      </c>
      <c r="AB10" s="46">
        <f>AA10*S10</f>
        <v/>
      </c>
      <c r="AC10" s="47" t="inlineStr">
        <is>
          <t>持有</t>
        </is>
      </c>
      <c r="AD10" s="50" t="inlineStr">
        <is>
          <t>待检查</t>
        </is>
      </c>
    </row>
    <row r="11">
      <c r="A11" s="28" t="inlineStr">
        <is>
          <t>锂电</t>
        </is>
      </c>
      <c r="B11" s="72" t="inlineStr">
        <is>
          <t>003984</t>
        </is>
      </c>
      <c r="C11" s="22" t="inlineStr">
        <is>
          <t>嘉实新能源新材料股票A</t>
        </is>
      </c>
      <c r="D11" s="75" t="n">
        <v>3.8813</v>
      </c>
      <c r="E11" s="75" t="n">
        <v>2.3399</v>
      </c>
      <c r="F11" s="31" t="n">
        <v>-0.0216</v>
      </c>
      <c r="G11" s="32">
        <f>(E11-D11)/D11+F11</f>
        <v/>
      </c>
      <c r="H11" s="76" t="n">
        <v>36.7</v>
      </c>
      <c r="I11" s="34" t="inlineStr">
        <is>
          <t>偏弱</t>
        </is>
      </c>
      <c r="J11" s="34" t="inlineStr">
        <is>
          <t>PE=34.1 适中</t>
        </is>
      </c>
      <c r="K11" s="77" t="inlineStr">
        <is>
          <t>回撤深但RSI未超卖，择机补仓</t>
        </is>
      </c>
      <c r="L11" s="83" t="inlineStr">
        <is>
          <t>可补仓</t>
        </is>
      </c>
      <c r="M11" s="36" t="inlineStr">
        <is>
          <t>倍投4级</t>
        </is>
      </c>
      <c r="N11" s="37" t="n">
        <v>3</v>
      </c>
      <c r="O11" s="79" t="n">
        <v>2.3907</v>
      </c>
      <c r="P11" s="31">
        <f>(E11-O11)/O11</f>
        <v/>
      </c>
      <c r="Q11" s="31">
        <f>F11+P11</f>
        <v/>
      </c>
      <c r="R11" s="39">
        <f>IF(OR(L11="强烈补仓",L11="建议补仓",L11="可补仓"),MAX(IF(Q11&lt;0,INT(-Q11*100),0),1),0)</f>
        <v/>
      </c>
      <c r="S11" s="40" t="n">
        <v>10</v>
      </c>
      <c r="T11" s="40">
        <f>N11*R11</f>
        <v/>
      </c>
      <c r="U11" s="40">
        <f>S11*T11</f>
        <v/>
      </c>
      <c r="V11" s="41" t="inlineStr">
        <is>
          <t>2026-07-20</t>
        </is>
      </c>
      <c r="W11" s="80" t="n">
        <v>2.2003</v>
      </c>
      <c r="X11" s="43">
        <f>((E11-W11)/W11)+F11</f>
        <v/>
      </c>
      <c r="Y11" s="81" t="n"/>
      <c r="Z11" s="45" t="inlineStr">
        <is>
          <t>是</t>
        </is>
      </c>
      <c r="AA11" s="40">
        <f>IF(Z11="是",IF(G11&lt;0,INT(-G11*100),"0")*N11,"")</f>
        <v/>
      </c>
      <c r="AB11" s="46">
        <f>AA11*S11</f>
        <v/>
      </c>
      <c r="AC11" s="47" t="inlineStr">
        <is>
          <t>持有</t>
        </is>
      </c>
      <c r="AD11" s="50" t="inlineStr">
        <is>
          <t>待检查</t>
        </is>
      </c>
    </row>
    <row r="12">
      <c r="A12" s="28" t="inlineStr">
        <is>
          <t>农业(种植养殖)</t>
        </is>
      </c>
      <c r="B12" s="29" t="inlineStr">
        <is>
          <t>010769</t>
        </is>
      </c>
      <c r="C12" s="22" t="inlineStr">
        <is>
          <t>天弘中证农业主题ETF联接A</t>
        </is>
      </c>
      <c r="D12" s="75" t="n">
        <v>1.1129</v>
      </c>
      <c r="E12" s="75" t="n">
        <v>0.7251</v>
      </c>
      <c r="F12" s="31" t="n">
        <v>0.0032</v>
      </c>
      <c r="G12" s="32">
        <f>(E12-D12)/D12+F12</f>
        <v/>
      </c>
      <c r="H12" s="76" t="n">
        <v>65.90000000000001</v>
      </c>
      <c r="I12" s="34" t="inlineStr">
        <is>
          <t>中性</t>
        </is>
      </c>
      <c r="J12" s="34" t="inlineStr">
        <is>
          <t>PE=31.5 偏高</t>
        </is>
      </c>
      <c r="K12" s="77" t="inlineStr">
        <is>
          <t>回撤深但估值高+RSI中性，等待确认</t>
        </is>
      </c>
      <c r="L12" s="78" t="inlineStr">
        <is>
          <t>关注</t>
        </is>
      </c>
      <c r="M12" s="36" t="inlineStr">
        <is>
          <t>倍投4级</t>
        </is>
      </c>
      <c r="N12" s="37" t="n">
        <v>3</v>
      </c>
      <c r="O12" s="79" t="n">
        <v>0.7339</v>
      </c>
      <c r="P12" s="31">
        <f>(E12-O12)/O12</f>
        <v/>
      </c>
      <c r="Q12" s="31">
        <f>F12+P12</f>
        <v/>
      </c>
      <c r="R12" s="39">
        <f>IF(OR(L12="强烈补仓",L12="建议补仓",L12="可补仓"),MAX(IF(Q12&lt;0,INT(-Q12*100),0),1),0)</f>
        <v/>
      </c>
      <c r="S12" s="40" t="n">
        <v>10</v>
      </c>
      <c r="T12" s="40">
        <f>N12*R12</f>
        <v/>
      </c>
      <c r="U12" s="40">
        <f>S12*T12</f>
        <v/>
      </c>
      <c r="V12" s="41" t="inlineStr">
        <is>
          <t>2026-06-26</t>
        </is>
      </c>
      <c r="W12" s="80" t="n">
        <v>0.6665</v>
      </c>
      <c r="X12" s="43">
        <f>((E12-W12)/W12)+F12</f>
        <v/>
      </c>
      <c r="Y12" s="81" t="n"/>
      <c r="Z12" s="45" t="inlineStr">
        <is>
          <t>是</t>
        </is>
      </c>
      <c r="AA12" s="40">
        <f>IF(Z12="是",IF(G12&lt;0,INT(-G12*100),"0")*N12,"")</f>
        <v/>
      </c>
      <c r="AB12" s="46">
        <f>AA12*S12</f>
        <v/>
      </c>
      <c r="AC12" s="47" t="inlineStr">
        <is>
          <t>持有</t>
        </is>
      </c>
      <c r="AD12" s="50" t="inlineStr">
        <is>
          <t>待检查</t>
        </is>
      </c>
    </row>
    <row r="13">
      <c r="A13" s="28" t="inlineStr">
        <is>
          <t>电力设备</t>
        </is>
      </c>
      <c r="B13" s="29" t="inlineStr">
        <is>
          <t>025832</t>
        </is>
      </c>
      <c r="C13" s="22" t="inlineStr">
        <is>
          <t>天弘中证电网设备主题指数A</t>
        </is>
      </c>
      <c r="D13" s="75" t="n">
        <v>1.5577</v>
      </c>
      <c r="E13" s="75" t="n">
        <v>1.1076</v>
      </c>
      <c r="F13" s="31" t="n">
        <v>-0.0405</v>
      </c>
      <c r="G13" s="32">
        <f>(E13-D13)/D13+F13</f>
        <v/>
      </c>
      <c r="H13" s="76" t="n">
        <v>29.8</v>
      </c>
      <c r="I13" s="34" t="inlineStr">
        <is>
          <t>超卖</t>
        </is>
      </c>
      <c r="J13" s="34" t="inlineStr">
        <is>
          <t>PE=27.8 适中</t>
        </is>
      </c>
      <c r="K13" s="77" t="inlineStr">
        <is>
          <t>回撤达标+RSI超卖，择机补仓</t>
        </is>
      </c>
      <c r="L13" s="83" t="inlineStr">
        <is>
          <t>可补仓</t>
        </is>
      </c>
      <c r="M13" s="36" t="inlineStr">
        <is>
          <t>倍投3级</t>
        </is>
      </c>
      <c r="N13" s="37" t="n">
        <v>2</v>
      </c>
      <c r="O13" s="79" t="n">
        <v>1.1076</v>
      </c>
      <c r="P13" s="31">
        <f>(E13-O13)/O13</f>
        <v/>
      </c>
      <c r="Q13" s="31">
        <f>F13+P13</f>
        <v/>
      </c>
      <c r="R13" s="39">
        <f>IF(OR(L13="强烈补仓",L13="建议补仓",L13="可补仓"),MAX(IF(Q13&lt;0,INT(-Q13*100),0),1),0)</f>
        <v/>
      </c>
      <c r="S13" s="40" t="n">
        <v>10</v>
      </c>
      <c r="T13" s="40">
        <f>N13*R13</f>
        <v/>
      </c>
      <c r="U13" s="40">
        <f>S13*T13</f>
        <v/>
      </c>
      <c r="V13" s="41" t="inlineStr">
        <is>
          <t>2026-07-20</t>
        </is>
      </c>
      <c r="W13" s="80" t="n">
        <v>1.0944</v>
      </c>
      <c r="X13" s="43">
        <f>((E13-W13)/W13)+F13</f>
        <v/>
      </c>
      <c r="Y13" s="81" t="n"/>
      <c r="Z13" s="45" t="inlineStr">
        <is>
          <t>是</t>
        </is>
      </c>
      <c r="AA13" s="40">
        <f>IF(Z13="是",IF(G13&lt;0,INT(-G13*100),"0")*N13,"")</f>
        <v/>
      </c>
      <c r="AB13" s="46">
        <f>AA13*S13</f>
        <v/>
      </c>
      <c r="AC13" s="47" t="inlineStr">
        <is>
          <t>持有</t>
        </is>
      </c>
      <c r="AD13" s="82" t="inlineStr">
        <is>
          <t>—</t>
        </is>
      </c>
    </row>
    <row r="14">
      <c r="A14" s="28" t="inlineStr">
        <is>
          <t>有色金属</t>
        </is>
      </c>
      <c r="B14" s="72" t="inlineStr">
        <is>
          <t>004432</t>
        </is>
      </c>
      <c r="C14" s="22" t="inlineStr">
        <is>
          <t>南方有色金属ETF联接A</t>
        </is>
      </c>
      <c r="D14" s="75" t="n">
        <v>2.5089</v>
      </c>
      <c r="E14" s="75" t="n">
        <v>1.7269</v>
      </c>
      <c r="F14" s="31" t="n">
        <v>-0.0191</v>
      </c>
      <c r="G14" s="32">
        <f>(E14-D14)/D14+F14</f>
        <v/>
      </c>
      <c r="H14" s="76" t="n">
        <v>47.1</v>
      </c>
      <c r="I14" s="34" t="inlineStr">
        <is>
          <t>中性</t>
        </is>
      </c>
      <c r="J14" s="34" t="inlineStr">
        <is>
          <t>PE=18.7 适中[PB首选不可用]</t>
        </is>
      </c>
      <c r="K14" s="77" t="inlineStr">
        <is>
          <t>回撤达标但RSI未超卖，等待</t>
        </is>
      </c>
      <c r="L14" s="78" t="inlineStr">
        <is>
          <t>关注</t>
        </is>
      </c>
      <c r="M14" s="36" t="inlineStr">
        <is>
          <t>倍投3级</t>
        </is>
      </c>
      <c r="N14" s="37" t="n">
        <v>2</v>
      </c>
      <c r="O14" s="79" t="n">
        <v>1.6299</v>
      </c>
      <c r="P14" s="31">
        <f>(E14-O14)/O14</f>
        <v/>
      </c>
      <c r="Q14" s="31">
        <f>F14+P14</f>
        <v/>
      </c>
      <c r="R14" s="39">
        <f>IF(OR(L14="强烈补仓",L14="建议补仓",L14="可补仓"),MAX(IF(Q14&lt;0,INT(-Q14*100),0),1),0)</f>
        <v/>
      </c>
      <c r="S14" s="40" t="n">
        <v>10</v>
      </c>
      <c r="T14" s="40">
        <f>N14*R14</f>
        <v/>
      </c>
      <c r="U14" s="40">
        <f>S14*T14</f>
        <v/>
      </c>
      <c r="V14" s="41" t="inlineStr">
        <is>
          <t>2026-07-20</t>
        </is>
      </c>
      <c r="W14" s="80" t="n">
        <v>1.6299</v>
      </c>
      <c r="X14" s="43">
        <f>((E14-W14)/W14)+F14</f>
        <v/>
      </c>
      <c r="Y14" s="81" t="n"/>
      <c r="Z14" s="45" t="inlineStr">
        <is>
          <t>是</t>
        </is>
      </c>
      <c r="AA14" s="40">
        <f>IF(Z14="是",IF(G14&lt;0,INT(-G14*100),"0")*N14,"")</f>
        <v/>
      </c>
      <c r="AB14" s="46">
        <f>AA14*S14</f>
        <v/>
      </c>
      <c r="AC14" s="47" t="inlineStr">
        <is>
          <t>持有</t>
        </is>
      </c>
      <c r="AD14" s="82" t="inlineStr">
        <is>
          <t>—</t>
        </is>
      </c>
    </row>
    <row r="15">
      <c r="A15" s="28" t="inlineStr">
        <is>
          <t>半导体</t>
        </is>
      </c>
      <c r="B15" s="72" t="inlineStr">
        <is>
          <t>008887</t>
        </is>
      </c>
      <c r="C15" s="22" t="inlineStr">
        <is>
          <t>华夏国证半导体芯片ETF</t>
        </is>
      </c>
      <c r="D15" s="75" t="n">
        <v>2.8703</v>
      </c>
      <c r="E15" s="75" t="n">
        <v>2.0407</v>
      </c>
      <c r="F15" s="31" t="n">
        <v>-0.07389999999999999</v>
      </c>
      <c r="G15" s="32">
        <f>(E15-D15)/D15+F15</f>
        <v/>
      </c>
      <c r="H15" s="76" t="n">
        <v>20.3</v>
      </c>
      <c r="I15" s="34" t="inlineStr">
        <is>
          <t>超卖</t>
        </is>
      </c>
      <c r="J15" s="34" t="inlineStr">
        <is>
          <t>PE=92.0 偏高</t>
        </is>
      </c>
      <c r="K15" s="77" t="inlineStr">
        <is>
          <t>回撤达标+RSI超卖，择机补仓</t>
        </is>
      </c>
      <c r="L15" s="83" t="inlineStr">
        <is>
          <t>可补仓</t>
        </is>
      </c>
      <c r="M15" s="36" t="inlineStr">
        <is>
          <t>倍投3级</t>
        </is>
      </c>
      <c r="N15" s="37" t="n">
        <v>2</v>
      </c>
      <c r="O15" s="79" t="n">
        <v>2.8703</v>
      </c>
      <c r="P15" s="31">
        <f>(E15-O15)/O15</f>
        <v/>
      </c>
      <c r="Q15" s="31">
        <f>F15+P15</f>
        <v/>
      </c>
      <c r="R15" s="39">
        <f>IF(OR(L15="强烈补仓",L15="建议补仓",L15="可补仓"),MAX(IF(Q15&lt;0,INT(-Q15*100),0),1),0)</f>
        <v/>
      </c>
      <c r="S15" s="40" t="n">
        <v>10</v>
      </c>
      <c r="T15" s="40">
        <f>N15*R15</f>
        <v/>
      </c>
      <c r="U15" s="40">
        <f>S15*T15</f>
        <v/>
      </c>
      <c r="V15" s="41" t="inlineStr">
        <is>
          <t>2026-07-20</t>
        </is>
      </c>
      <c r="W15" s="80" t="n">
        <v>2.0675</v>
      </c>
      <c r="X15" s="43">
        <f>((E15-W15)/W15)+F15</f>
        <v/>
      </c>
      <c r="Y15" s="81" t="n"/>
      <c r="Z15" s="45" t="inlineStr">
        <is>
          <t>是</t>
        </is>
      </c>
      <c r="AA15" s="40">
        <f>IF(Z15="是",IF(G15&lt;0,INT(-G15*100),"0")*N15,"")</f>
        <v/>
      </c>
      <c r="AB15" s="46">
        <f>AA15*S15</f>
        <v/>
      </c>
      <c r="AC15" s="47" t="inlineStr">
        <is>
          <t>关注</t>
        </is>
      </c>
      <c r="AD15" s="82" t="inlineStr">
        <is>
          <t>—</t>
        </is>
      </c>
    </row>
    <row r="16">
      <c r="A16" s="28" t="inlineStr">
        <is>
          <t>机器人</t>
        </is>
      </c>
      <c r="B16" s="72" t="inlineStr">
        <is>
          <t>018344</t>
        </is>
      </c>
      <c r="C16" s="22" t="inlineStr">
        <is>
          <t>华夏中证机器人ETF联接A</t>
        </is>
      </c>
      <c r="D16" s="75" t="n">
        <v>1.4532</v>
      </c>
      <c r="E16" s="75" t="n">
        <v>1.1239</v>
      </c>
      <c r="F16" s="31" t="n">
        <v>-0.0248</v>
      </c>
      <c r="G16" s="32">
        <f>(E16-D16)/D16+F16</f>
        <v/>
      </c>
      <c r="H16" s="76" t="n">
        <v>20.4</v>
      </c>
      <c r="I16" s="34" t="inlineStr">
        <is>
          <t>超卖</t>
        </is>
      </c>
      <c r="J16" s="34" t="inlineStr">
        <is>
          <t>PE=44.9 偏高</t>
        </is>
      </c>
      <c r="K16" s="77" t="inlineStr">
        <is>
          <t>回撤达标+RSI超卖，择机补仓</t>
        </is>
      </c>
      <c r="L16" s="83" t="inlineStr">
        <is>
          <t>可补仓</t>
        </is>
      </c>
      <c r="M16" s="36" t="inlineStr">
        <is>
          <t>倍投2级</t>
        </is>
      </c>
      <c r="N16" s="37" t="n">
        <v>1.5</v>
      </c>
      <c r="O16" s="79" t="n">
        <v>1.4532</v>
      </c>
      <c r="P16" s="31">
        <f>(E16-O16)/O16</f>
        <v/>
      </c>
      <c r="Q16" s="31">
        <f>F16+P16</f>
        <v/>
      </c>
      <c r="R16" s="39">
        <f>IF(OR(L16="强烈补仓",L16="建议补仓",L16="可补仓"),MAX(IF(Q16&lt;0,INT(-Q16*100),0),1),0)</f>
        <v/>
      </c>
      <c r="S16" s="40" t="n">
        <v>10</v>
      </c>
      <c r="T16" s="40">
        <f>N16*R16</f>
        <v/>
      </c>
      <c r="U16" s="40">
        <f>S16*T16</f>
        <v/>
      </c>
      <c r="V16" s="41" t="inlineStr">
        <is>
          <t>2026-07-24</t>
        </is>
      </c>
      <c r="W16" s="80" t="n">
        <v>1.1254</v>
      </c>
      <c r="X16" s="43">
        <f>((E16-W16)/W16)+F16</f>
        <v/>
      </c>
      <c r="Y16" s="81" t="n"/>
      <c r="Z16" s="45" t="inlineStr">
        <is>
          <t>是</t>
        </is>
      </c>
      <c r="AA16" s="40">
        <f>IF(Z16="是",IF(G16&lt;0,INT(-G16*100),"0")*N16,"")</f>
        <v/>
      </c>
      <c r="AB16" s="46">
        <f>AA16*S16</f>
        <v/>
      </c>
      <c r="AC16" s="47" t="inlineStr">
        <is>
          <t>关注</t>
        </is>
      </c>
      <c r="AD16" s="82" t="inlineStr">
        <is>
          <t>—</t>
        </is>
      </c>
    </row>
    <row r="17">
      <c r="A17" s="28" t="inlineStr">
        <is>
          <t>智能汽车/无人驾驶</t>
        </is>
      </c>
      <c r="B17" s="29" t="inlineStr">
        <is>
          <t>001790</t>
        </is>
      </c>
      <c r="C17" s="22" t="inlineStr">
        <is>
          <t>国泰智能汽车股票A</t>
        </is>
      </c>
      <c r="D17" s="75" t="n">
        <v>3.449</v>
      </c>
      <c r="E17" s="75" t="n">
        <v>2.2232</v>
      </c>
      <c r="F17" s="31" t="n">
        <v>-0.0364</v>
      </c>
      <c r="G17" s="32">
        <f>(E17-D17)/D17+F17</f>
        <v/>
      </c>
      <c r="H17" s="76" t="n">
        <v>26.4</v>
      </c>
      <c r="I17" s="34" t="inlineStr">
        <is>
          <t>超卖</t>
        </is>
      </c>
      <c r="J17" s="34" t="inlineStr">
        <is>
          <t>PE=27.1 适中</t>
        </is>
      </c>
      <c r="K17" s="77" t="inlineStr">
        <is>
          <t>三指标共振，强烈建议补仓</t>
        </is>
      </c>
      <c r="L17" s="90" t="inlineStr">
        <is>
          <t>强烈补仓</t>
        </is>
      </c>
      <c r="M17" s="36" t="inlineStr">
        <is>
          <t>倍投4级</t>
        </is>
      </c>
      <c r="N17" s="37" t="n">
        <v>3</v>
      </c>
      <c r="O17" s="79" t="n">
        <v>2.7582</v>
      </c>
      <c r="P17" s="31">
        <f>(E17-O17)/O17</f>
        <v/>
      </c>
      <c r="Q17" s="31">
        <f>F17+P17</f>
        <v/>
      </c>
      <c r="R17" s="39">
        <f>IF(OR(L17="强烈补仓",L17="建议补仓",L17="可补仓"),MAX(IF(Q17&lt;0,INT(-Q17*100),0),1),0)</f>
        <v/>
      </c>
      <c r="S17" s="40" t="n">
        <v>10</v>
      </c>
      <c r="T17" s="40">
        <f>N17*R17</f>
        <v/>
      </c>
      <c r="U17" s="40">
        <f>S17*T17</f>
        <v/>
      </c>
      <c r="V17" s="41" t="inlineStr">
        <is>
          <t>2026-07-20</t>
        </is>
      </c>
      <c r="W17" s="80" t="n">
        <v>2.241</v>
      </c>
      <c r="X17" s="43">
        <f>((E17-W17)/W17)+F17</f>
        <v/>
      </c>
      <c r="Y17" s="81" t="n"/>
      <c r="Z17" s="45" t="inlineStr">
        <is>
          <t>是</t>
        </is>
      </c>
      <c r="AA17" s="40">
        <f>IF(Z17="是",IF(G17&lt;0,INT(-G17*100),"0")*N17,"")</f>
        <v/>
      </c>
      <c r="AB17" s="46">
        <f>AA17*S17</f>
        <v/>
      </c>
      <c r="AC17" s="47" t="inlineStr">
        <is>
          <t>关注</t>
        </is>
      </c>
      <c r="AD17" s="50" t="inlineStr">
        <is>
          <t>待检查</t>
        </is>
      </c>
    </row>
    <row r="18">
      <c r="A18" s="28" t="inlineStr">
        <is>
          <t>猪肉</t>
        </is>
      </c>
      <c r="B18" s="72" t="inlineStr">
        <is>
          <t>014414</t>
        </is>
      </c>
      <c r="C18" s="22" t="inlineStr">
        <is>
          <t>招商中证畜牧养殖ETF联接A</t>
        </is>
      </c>
      <c r="D18" s="75" t="n">
        <v>1.2169</v>
      </c>
      <c r="E18" s="75" t="n">
        <v>0.7423</v>
      </c>
      <c r="F18" s="31" t="n">
        <v>-0.0003</v>
      </c>
      <c r="G18" s="32">
        <f>(E18-D18)/D18+F18</f>
        <v/>
      </c>
      <c r="H18" s="76" t="n">
        <v>54.7</v>
      </c>
      <c r="I18" s="34" t="inlineStr">
        <is>
          <t>中性</t>
        </is>
      </c>
      <c r="J18" s="34" t="inlineStr">
        <is>
          <t>PE=22.9 适中</t>
        </is>
      </c>
      <c r="K18" s="77" t="inlineStr">
        <is>
          <t>回撤深但RSI未超卖，择机补仓（反弹中降级）</t>
        </is>
      </c>
      <c r="L18" s="78" t="inlineStr">
        <is>
          <t>关注</t>
        </is>
      </c>
      <c r="M18" s="36" t="inlineStr">
        <is>
          <t>倍投4级</t>
        </is>
      </c>
      <c r="N18" s="37" t="n">
        <v>3</v>
      </c>
      <c r="O18" s="79" t="n">
        <v>0.9284</v>
      </c>
      <c r="P18" s="31">
        <f>(E18-O18)/O18</f>
        <v/>
      </c>
      <c r="Q18" s="31">
        <f>F18+P18</f>
        <v/>
      </c>
      <c r="R18" s="39">
        <f>IF(OR(L18="强烈补仓",L18="建议补仓",L18="可补仓"),MAX(IF(Q18&lt;0,INT(-Q18*100),0),1),0)</f>
        <v/>
      </c>
      <c r="S18" s="40" t="n">
        <v>10</v>
      </c>
      <c r="T18" s="40">
        <f>N18*R18</f>
        <v/>
      </c>
      <c r="U18" s="40">
        <f>S18*T18</f>
        <v/>
      </c>
      <c r="V18" s="41" t="inlineStr">
        <is>
          <t>2026-06-25</t>
        </is>
      </c>
      <c r="W18" s="80" t="n">
        <v>0.6829</v>
      </c>
      <c r="X18" s="43">
        <f>((E18-W18)/W18)+F18</f>
        <v/>
      </c>
      <c r="Y18" s="81" t="n"/>
      <c r="Z18" s="45" t="inlineStr">
        <is>
          <t>是</t>
        </is>
      </c>
      <c r="AA18" s="40">
        <f>IF(Z18="是",IF(G18&lt;0,INT(-G18*100),"0")*N18,"")</f>
        <v/>
      </c>
      <c r="AB18" s="46">
        <f>AA18*S18</f>
        <v/>
      </c>
      <c r="AC18" s="47" t="inlineStr">
        <is>
          <t>关注</t>
        </is>
      </c>
      <c r="AD18" s="50" t="inlineStr">
        <is>
          <t>待检查</t>
        </is>
      </c>
    </row>
    <row r="19">
      <c r="A19" s="28" t="inlineStr">
        <is>
          <t>券商</t>
        </is>
      </c>
      <c r="B19" s="29" t="inlineStr">
        <is>
          <t>006098</t>
        </is>
      </c>
      <c r="C19" s="22" t="inlineStr">
        <is>
          <t>华宝券商ETF联接A</t>
        </is>
      </c>
      <c r="D19" s="75" t="n">
        <v>1.8708</v>
      </c>
      <c r="E19" s="75" t="n">
        <v>1.5254</v>
      </c>
      <c r="F19" s="31" t="n">
        <v>-0.0132</v>
      </c>
      <c r="G19" s="32">
        <f>(E19-D19)/D19+F19</f>
        <v/>
      </c>
      <c r="H19" s="76" t="n">
        <v>35.6</v>
      </c>
      <c r="I19" s="34" t="inlineStr">
        <is>
          <t>偏弱</t>
        </is>
      </c>
      <c r="J19" s="34" t="inlineStr">
        <is>
          <t>PB=1.29 适中</t>
        </is>
      </c>
      <c r="K19" s="77" t="inlineStr">
        <is>
          <t>信号不充分，持续观察</t>
        </is>
      </c>
      <c r="L19" s="86" t="inlineStr">
        <is>
          <t>观望</t>
        </is>
      </c>
      <c r="M19" s="36" t="inlineStr">
        <is>
          <t>倍投1级</t>
        </is>
      </c>
      <c r="N19" s="37" t="n">
        <v>1</v>
      </c>
      <c r="O19" s="79" t="n">
        <v>1.787</v>
      </c>
      <c r="P19" s="31">
        <f>(E19-O19)/O19</f>
        <v/>
      </c>
      <c r="Q19" s="31">
        <f>F19+P19</f>
        <v/>
      </c>
      <c r="R19" s="39">
        <f>IF(OR(L19="强烈补仓",L19="建议补仓",L19="可补仓"),MAX(IF(Q19&lt;0,INT(-Q19*100),0),1),0)</f>
        <v/>
      </c>
      <c r="S19" s="40" t="n">
        <v>10</v>
      </c>
      <c r="T19" s="40">
        <f>N19*R19</f>
        <v/>
      </c>
      <c r="U19" s="40">
        <f>S19*T19</f>
        <v/>
      </c>
      <c r="V19" s="41" t="inlineStr">
        <is>
          <t>2026-06-08</t>
        </is>
      </c>
      <c r="W19" s="80" t="n">
        <v>1.4073</v>
      </c>
      <c r="X19" s="43">
        <f>((E19-W19)/W19)+F19</f>
        <v/>
      </c>
      <c r="Y19" s="81" t="n"/>
      <c r="Z19" s="45" t="inlineStr">
        <is>
          <t>是</t>
        </is>
      </c>
      <c r="AA19" s="40">
        <f>IF(Z19="是",IF(G19&lt;0,INT(-G19*100),"0")*N19,"")</f>
        <v/>
      </c>
      <c r="AB19" s="46">
        <f>AA19*S19</f>
        <v/>
      </c>
      <c r="AC19" s="47" t="inlineStr">
        <is>
          <t>关注</t>
        </is>
      </c>
      <c r="AD19" s="82" t="inlineStr">
        <is>
          <t>—</t>
        </is>
      </c>
    </row>
    <row r="20">
      <c r="A20" s="28" t="inlineStr">
        <is>
          <t>科创50</t>
        </is>
      </c>
      <c r="B20" s="29" t="inlineStr">
        <is>
          <t>011608</t>
        </is>
      </c>
      <c r="C20" s="22" t="inlineStr">
        <is>
          <t>易方达科创50联接A</t>
        </is>
      </c>
      <c r="D20" s="75" t="n">
        <v>1.6749</v>
      </c>
      <c r="E20" s="75" t="n">
        <v>1.3065</v>
      </c>
      <c r="F20" s="31" t="n">
        <v>-0.05980000000000001</v>
      </c>
      <c r="G20" s="32">
        <f>(E20-D20)/D20+F20</f>
        <v/>
      </c>
      <c r="H20" s="76" t="n">
        <v>21.6</v>
      </c>
      <c r="I20" s="34" t="inlineStr">
        <is>
          <t>超卖</t>
        </is>
      </c>
      <c r="J20" s="34" t="inlineStr">
        <is>
          <t>PB=8.09 高估</t>
        </is>
      </c>
      <c r="K20" s="77" t="inlineStr">
        <is>
          <t>回撤达标+RSI超卖，择机补仓</t>
        </is>
      </c>
      <c r="L20" s="83" t="inlineStr">
        <is>
          <t>可补仓</t>
        </is>
      </c>
      <c r="M20" s="36" t="inlineStr">
        <is>
          <t>倍投2级</t>
        </is>
      </c>
      <c r="N20" s="37" t="n">
        <v>1.5</v>
      </c>
      <c r="O20" s="79" t="n">
        <v>1.6749</v>
      </c>
      <c r="P20" s="31">
        <f>(E20-O20)/O20</f>
        <v/>
      </c>
      <c r="Q20" s="31">
        <f>F20+P20</f>
        <v/>
      </c>
      <c r="R20" s="39">
        <f>IF(OR(L20="强烈补仓",L20="建议补仓",L20="可补仓"),MAX(IF(Q20&lt;0,INT(-Q20*100),0),1),0)</f>
        <v/>
      </c>
      <c r="S20" s="40" t="n">
        <v>10</v>
      </c>
      <c r="T20" s="40">
        <f>N20*R20</f>
        <v/>
      </c>
      <c r="U20" s="40">
        <f>S20*T20</f>
        <v/>
      </c>
      <c r="V20" s="41" t="inlineStr">
        <is>
          <t>2026-07-17</t>
        </is>
      </c>
      <c r="W20" s="80" t="n">
        <v>1.3205</v>
      </c>
      <c r="X20" s="43">
        <f>((E20-W20)/W20)+F20</f>
        <v/>
      </c>
      <c r="Y20" s="81" t="n"/>
      <c r="Z20" s="45" t="inlineStr">
        <is>
          <t>是</t>
        </is>
      </c>
      <c r="AA20" s="40">
        <f>IF(Z20="是",IF(G20&lt;0,INT(-G20*100),"0")*N20,"")</f>
        <v/>
      </c>
      <c r="AB20" s="46">
        <f>AA20*S20</f>
        <v/>
      </c>
      <c r="AC20" s="47" t="inlineStr">
        <is>
          <t>关注</t>
        </is>
      </c>
      <c r="AD20" s="82" t="inlineStr">
        <is>
          <t>—</t>
        </is>
      </c>
    </row>
    <row r="21">
      <c r="A21" s="28" t="inlineStr">
        <is>
          <t>创业板</t>
        </is>
      </c>
      <c r="B21" s="29" t="inlineStr">
        <is>
          <t>003765</t>
        </is>
      </c>
      <c r="C21" s="22" t="inlineStr">
        <is>
          <t>广发创业板ETF联接A</t>
        </is>
      </c>
      <c r="D21" s="75" t="n">
        <v>2.3474</v>
      </c>
      <c r="E21" s="75" t="n">
        <v>1.8082</v>
      </c>
      <c r="F21" s="31" t="n">
        <v>-0.0702</v>
      </c>
      <c r="G21" s="32">
        <f>(E21-D21)/D21+F21</f>
        <v/>
      </c>
      <c r="H21" s="76" t="n">
        <v>26.1</v>
      </c>
      <c r="I21" s="34" t="inlineStr">
        <is>
          <t>超卖</t>
        </is>
      </c>
      <c r="J21" s="34" t="inlineStr">
        <is>
          <t>PE=41.7 适中</t>
        </is>
      </c>
      <c r="K21" s="77" t="inlineStr">
        <is>
          <t>回撤达标+RSI超卖，择机补仓</t>
        </is>
      </c>
      <c r="L21" s="83" t="inlineStr">
        <is>
          <t>可补仓</t>
        </is>
      </c>
      <c r="M21" s="36" t="inlineStr">
        <is>
          <t>倍投2级</t>
        </is>
      </c>
      <c r="N21" s="37" t="n">
        <v>1.5</v>
      </c>
      <c r="O21" s="79" t="n">
        <v>2.3474</v>
      </c>
      <c r="P21" s="31">
        <f>(E21-O21)/O21</f>
        <v/>
      </c>
      <c r="Q21" s="31">
        <f>F21+P21</f>
        <v/>
      </c>
      <c r="R21" s="39">
        <f>IF(OR(L21="强烈补仓",L21="建议补仓",L21="可补仓"),MAX(IF(Q21&lt;0,INT(-Q21*100),0),1),0)</f>
        <v/>
      </c>
      <c r="S21" s="40" t="n">
        <v>10</v>
      </c>
      <c r="T21" s="40">
        <f>N21*R21</f>
        <v/>
      </c>
      <c r="U21" s="40">
        <f>S21*T21</f>
        <v/>
      </c>
      <c r="V21" s="41" t="inlineStr">
        <is>
          <t>2026-07-17</t>
        </is>
      </c>
      <c r="W21" s="80" t="n">
        <v>1.859</v>
      </c>
      <c r="X21" s="43">
        <f>((E21-W21)/W21)+F21</f>
        <v/>
      </c>
      <c r="Y21" s="81" t="n"/>
      <c r="Z21" s="45" t="inlineStr">
        <is>
          <t>是</t>
        </is>
      </c>
      <c r="AA21" s="40">
        <f>IF(Z21="是",IF(G21&lt;0,INT(-G21*100),"0")*N21,"")</f>
        <v/>
      </c>
      <c r="AB21" s="46">
        <f>AA21*S21</f>
        <v/>
      </c>
      <c r="AC21" s="47" t="inlineStr">
        <is>
          <t>关注</t>
        </is>
      </c>
      <c r="AD21" s="82" t="inlineStr">
        <is>
          <t>—</t>
        </is>
      </c>
    </row>
    <row r="22">
      <c r="A22" s="28" t="inlineStr">
        <is>
          <t>量化中小盘</t>
        </is>
      </c>
      <c r="B22" s="72" t="inlineStr">
        <is>
          <t>025656</t>
        </is>
      </c>
      <c r="C22" s="22" t="inlineStr">
        <is>
          <t>国金智远量化A</t>
        </is>
      </c>
      <c r="D22" s="75" t="n">
        <v>1.2999</v>
      </c>
      <c r="E22" s="75" t="n">
        <v>1.0022</v>
      </c>
      <c r="F22" s="31" t="n">
        <v>-0.0412</v>
      </c>
      <c r="G22" s="32">
        <f>(E22-D22)/D22+F22</f>
        <v/>
      </c>
      <c r="H22" s="76" t="n">
        <v>25.8</v>
      </c>
      <c r="I22" s="34" t="inlineStr">
        <is>
          <t>超卖</t>
        </is>
      </c>
      <c r="J22" s="34" t="inlineStr">
        <is>
          <t>PE=35.1 偏高</t>
        </is>
      </c>
      <c r="K22" s="77" t="inlineStr">
        <is>
          <t>回撤达标+RSI超卖，择机补仓</t>
        </is>
      </c>
      <c r="L22" s="83" t="inlineStr">
        <is>
          <t>可补仓</t>
        </is>
      </c>
      <c r="M22" s="36" t="inlineStr">
        <is>
          <t>倍投2级</t>
        </is>
      </c>
      <c r="N22" s="37" t="n">
        <v>1.5</v>
      </c>
      <c r="O22" s="79" t="n">
        <v>1.282</v>
      </c>
      <c r="P22" s="31">
        <f>(E22-O22)/O22</f>
        <v/>
      </c>
      <c r="Q22" s="31">
        <f>F22+P22</f>
        <v/>
      </c>
      <c r="R22" s="39">
        <f>IF(OR(L22="强烈补仓",L22="建议补仓",L22="可补仓"),MAX(IF(Q22&lt;0,INT(-Q22*100),0),1),0)</f>
        <v/>
      </c>
      <c r="S22" s="40" t="n">
        <v>10</v>
      </c>
      <c r="T22" s="40">
        <f>N22*R22</f>
        <v/>
      </c>
      <c r="U22" s="40">
        <f>S22*T22</f>
        <v/>
      </c>
      <c r="V22" s="41" t="inlineStr">
        <is>
          <t>2026-07-20</t>
        </is>
      </c>
      <c r="W22" s="80" t="n">
        <v>0.9946</v>
      </c>
      <c r="X22" s="43">
        <f>((E22-W22)/W22)+F22</f>
        <v/>
      </c>
      <c r="Y22" s="81" t="n"/>
      <c r="Z22" s="45" t="inlineStr">
        <is>
          <t>是</t>
        </is>
      </c>
      <c r="AA22" s="40">
        <f>IF(Z22="是",IF(G22&lt;0,INT(-G22*100),"0")*N22,"")</f>
        <v/>
      </c>
      <c r="AB22" s="46">
        <f>AA22*S22</f>
        <v/>
      </c>
      <c r="AC22" s="47" t="inlineStr">
        <is>
          <t>关注</t>
        </is>
      </c>
      <c r="AD22" s="82" t="inlineStr">
        <is>
          <t>—</t>
        </is>
      </c>
    </row>
    <row r="23">
      <c r="A23" s="28" t="inlineStr">
        <is>
          <t>CPO</t>
        </is>
      </c>
      <c r="B23" s="72" t="inlineStr">
        <is>
          <t>025880</t>
        </is>
      </c>
      <c r="C23" s="22" t="inlineStr">
        <is>
          <t>汇添富科技领先混合A</t>
        </is>
      </c>
      <c r="D23" s="75" t="n">
        <v>1.9364</v>
      </c>
      <c r="E23" s="75" t="n">
        <v>1.2241</v>
      </c>
      <c r="F23" s="31" t="n">
        <v>-0.1187</v>
      </c>
      <c r="G23" s="32">
        <f>(E23-D23)/D23+F23</f>
        <v/>
      </c>
      <c r="H23" s="76" t="n">
        <v>25.3</v>
      </c>
      <c r="I23" s="34" t="inlineStr">
        <is>
          <t>超卖</t>
        </is>
      </c>
      <c r="J23" s="34" t="inlineStr">
        <is>
          <t>PE=14.3 偏高</t>
        </is>
      </c>
      <c r="K23" s="77" t="inlineStr">
        <is>
          <t>回撤深+RSI超卖，但估值偏高需谨慎</t>
        </is>
      </c>
      <c r="L23" s="83" t="inlineStr">
        <is>
          <t>可补仓</t>
        </is>
      </c>
      <c r="M23" s="36" t="inlineStr">
        <is>
          <t>倍投4级</t>
        </is>
      </c>
      <c r="N23" s="37" t="n">
        <v>3</v>
      </c>
      <c r="O23" s="79" t="n">
        <v>1.9364</v>
      </c>
      <c r="P23" s="31">
        <f>(E23-O23)/O23</f>
        <v/>
      </c>
      <c r="Q23" s="31">
        <f>F23+P23</f>
        <v/>
      </c>
      <c r="R23" s="39">
        <f>IF(OR(L23="强烈补仓",L23="建议补仓",L23="可补仓"),MAX(IF(Q23&lt;0,INT(-Q23*100),0),1),0)</f>
        <v/>
      </c>
      <c r="S23" s="40" t="n">
        <v>10</v>
      </c>
      <c r="T23" s="40">
        <f>N23*R23</f>
        <v/>
      </c>
      <c r="U23" s="40">
        <f>S23*T23</f>
        <v/>
      </c>
      <c r="V23" s="41" t="inlineStr">
        <is>
          <t>2026-07-24</t>
        </is>
      </c>
      <c r="W23" s="80" t="n">
        <v>1.3201</v>
      </c>
      <c r="X23" s="43">
        <f>((E23-W23)/W23)+F23</f>
        <v/>
      </c>
      <c r="Y23" s="81" t="n"/>
      <c r="Z23" s="45" t="inlineStr">
        <is>
          <t>是</t>
        </is>
      </c>
      <c r="AA23" s="40">
        <f>IF(Z23="是",IF(G23&lt;0,INT(-G23*100),"0")*N23,"")</f>
        <v/>
      </c>
      <c r="AB23" s="46">
        <f>AA23*S23</f>
        <v/>
      </c>
      <c r="AC23" s="47" t="inlineStr">
        <is>
          <t>关注</t>
        </is>
      </c>
      <c r="AD23" s="89" t="inlineStr">
        <is>
          <t>待检查</t>
        </is>
      </c>
    </row>
    <row r="24">
      <c r="A24" s="28" t="inlineStr">
        <is>
          <t>存储芯片</t>
        </is>
      </c>
      <c r="B24" s="72" t="inlineStr">
        <is>
          <t>021420</t>
        </is>
      </c>
      <c r="C24" s="22" t="inlineStr">
        <is>
          <t>广发信创ETF联接A</t>
        </is>
      </c>
      <c r="D24" s="75" t="n">
        <v>2.6228</v>
      </c>
      <c r="E24" s="75" t="n">
        <v>1.9438</v>
      </c>
      <c r="F24" s="31" t="n">
        <v>-0.0579</v>
      </c>
      <c r="G24" s="32">
        <f>(E24-D24)/D24+F24</f>
        <v/>
      </c>
      <c r="H24" s="76" t="n">
        <v>18.5</v>
      </c>
      <c r="I24" s="34" t="inlineStr">
        <is>
          <t>极度超卖</t>
        </is>
      </c>
      <c r="J24" s="34" t="inlineStr">
        <is>
          <t>PE=52.7 偏高</t>
        </is>
      </c>
      <c r="K24" s="77" t="inlineStr">
        <is>
          <t>回撤达标+RSI超卖，择机补仓</t>
        </is>
      </c>
      <c r="L24" s="83" t="inlineStr">
        <is>
          <t>可补仓</t>
        </is>
      </c>
      <c r="M24" s="36" t="inlineStr">
        <is>
          <t>倍投3级</t>
        </is>
      </c>
      <c r="N24" s="37" t="n">
        <v>2</v>
      </c>
      <c r="O24" s="79" t="n">
        <v>2.6228</v>
      </c>
      <c r="P24" s="31">
        <f>(E24-O24)/O24</f>
        <v/>
      </c>
      <c r="Q24" s="31">
        <f>F24+P24</f>
        <v/>
      </c>
      <c r="R24" s="39">
        <f>IF(OR(L24="强烈补仓",L24="建议补仓",L24="可补仓"),MAX(IF(Q24&lt;0,INT(-Q24*100),0),1),0)</f>
        <v/>
      </c>
      <c r="S24" s="40" t="n">
        <v>10</v>
      </c>
      <c r="T24" s="40">
        <f>N24*R24</f>
        <v/>
      </c>
      <c r="U24" s="40">
        <f>S24*T24</f>
        <v/>
      </c>
      <c r="V24" s="41" t="inlineStr">
        <is>
          <t>2026-07-17</t>
        </is>
      </c>
      <c r="W24" s="80" t="n">
        <v>1.9915</v>
      </c>
      <c r="X24" s="43">
        <f>((E24-W24)/W24)+F24</f>
        <v/>
      </c>
      <c r="Y24" s="81" t="n"/>
      <c r="Z24" s="45" t="inlineStr">
        <is>
          <t>是</t>
        </is>
      </c>
      <c r="AA24" s="40">
        <f>IF(Z24="是",IF(G24&lt;0,INT(-G24*100),"0")*N24,"")</f>
        <v/>
      </c>
      <c r="AB24" s="46">
        <f>AA24*S24</f>
        <v/>
      </c>
      <c r="AC24" s="47" t="inlineStr">
        <is>
          <t>关注</t>
        </is>
      </c>
      <c r="AD24" s="82" t="inlineStr">
        <is>
          <t>—</t>
        </is>
      </c>
    </row>
    <row r="25">
      <c r="A25" s="28" t="inlineStr">
        <is>
          <t>恒生科技</t>
        </is>
      </c>
      <c r="B25" s="72" t="inlineStr">
        <is>
          <t>013402</t>
        </is>
      </c>
      <c r="C25" s="22" t="inlineStr">
        <is>
          <t>华夏恒生科技ETF联接（QDII）A</t>
        </is>
      </c>
      <c r="D25" s="75" t="n">
        <v>1.1155</v>
      </c>
      <c r="E25" s="75" t="n">
        <v>0.7834</v>
      </c>
      <c r="F25" s="31" t="n">
        <v>-0.0004</v>
      </c>
      <c r="G25" s="32">
        <f>(E25-D25)/D25+F25</f>
        <v/>
      </c>
      <c r="H25" s="76" t="n">
        <v>49.3</v>
      </c>
      <c r="I25" s="34" t="inlineStr">
        <is>
          <t>中性</t>
        </is>
      </c>
      <c r="J25" s="34" t="inlineStr">
        <is>
          <t>PE=22.7 适中</t>
        </is>
      </c>
      <c r="K25" s="77" t="inlineStr">
        <is>
          <t>回撤达标但RSI未超卖，等待</t>
        </is>
      </c>
      <c r="L25" s="78" t="inlineStr">
        <is>
          <t>关注</t>
        </is>
      </c>
      <c r="M25" s="36" t="inlineStr">
        <is>
          <t>倍投3级</t>
        </is>
      </c>
      <c r="N25" s="37" t="n">
        <v>2</v>
      </c>
      <c r="O25" s="79" t="n">
        <v>0.7361</v>
      </c>
      <c r="P25" s="31">
        <f>(E25-O25)/O25</f>
        <v/>
      </c>
      <c r="Q25" s="31">
        <f>F25+P25</f>
        <v/>
      </c>
      <c r="R25" s="39">
        <f>IF(OR(L25="强烈补仓",L25="建议补仓",L25="可补仓"),MAX(IF(Q25&lt;0,INT(-Q25*100),0),1),0)</f>
        <v/>
      </c>
      <c r="S25" s="40" t="n">
        <v>10</v>
      </c>
      <c r="T25" s="40">
        <f>N25*R25</f>
        <v/>
      </c>
      <c r="U25" s="40">
        <f>S25*T25</f>
        <v/>
      </c>
      <c r="V25" s="41" t="inlineStr">
        <is>
          <t>2026-06-26</t>
        </is>
      </c>
      <c r="W25" s="80" t="n">
        <v>0.7112000000000001</v>
      </c>
      <c r="X25" s="43">
        <f>((E25-W25)/W25)+F25</f>
        <v/>
      </c>
      <c r="Y25" s="81" t="n"/>
      <c r="Z25" s="45" t="inlineStr">
        <is>
          <t>是</t>
        </is>
      </c>
      <c r="AA25" s="40">
        <f>IF(Z25="是",IF(G25&lt;0,INT(-G25*100),"0")*N25,"")</f>
        <v/>
      </c>
      <c r="AB25" s="46">
        <f>AA25*S25</f>
        <v/>
      </c>
      <c r="AC25" s="47" t="inlineStr">
        <is>
          <t>关注</t>
        </is>
      </c>
      <c r="AD25" s="82" t="inlineStr">
        <is>
          <t>—</t>
        </is>
      </c>
    </row>
    <row r="26">
      <c r="A26" s="28" t="inlineStr">
        <is>
          <t>白酒</t>
        </is>
      </c>
      <c r="B26" s="29" t="n">
        <v>161725</v>
      </c>
      <c r="C26" s="22" t="inlineStr">
        <is>
          <t>招商中证白酒A</t>
        </is>
      </c>
      <c r="D26" s="75" t="n">
        <v>1.6466</v>
      </c>
      <c r="E26" s="75" t="n">
        <v>0.5573</v>
      </c>
      <c r="F26" s="31" t="n">
        <v>0.0257</v>
      </c>
      <c r="G26" s="32">
        <f>(E26-D26)/D26+F26</f>
        <v/>
      </c>
      <c r="H26" s="76" t="n">
        <v>73.59999999999999</v>
      </c>
      <c r="I26" s="34" t="inlineStr">
        <is>
          <t>超买</t>
        </is>
      </c>
      <c r="J26" s="34" t="inlineStr">
        <is>
          <t>PE=19.7 适中</t>
        </is>
      </c>
      <c r="K26" s="77" t="inlineStr">
        <is>
          <t>回撤极深+估值低位，择机补仓（反弹中降级）</t>
        </is>
      </c>
      <c r="L26" s="83" t="inlineStr">
        <is>
          <t>可补仓</t>
        </is>
      </c>
      <c r="M26" s="36" t="inlineStr">
        <is>
          <t>极限3级</t>
        </is>
      </c>
      <c r="N26" s="37" t="n">
        <v>7</v>
      </c>
      <c r="O26" s="79" t="n">
        <v>1.6466</v>
      </c>
      <c r="P26" s="31">
        <f>(E26-O26)/O26</f>
        <v/>
      </c>
      <c r="Q26" s="31">
        <f>F26+P26</f>
        <v/>
      </c>
      <c r="R26" s="39">
        <f>IF(OR(L26="强烈补仓",L26="建议补仓",L26="可补仓"),MAX(IF(Q26&lt;0,INT(-Q26*100),0),1),0)</f>
        <v/>
      </c>
      <c r="S26" s="40" t="n">
        <v>10</v>
      </c>
      <c r="T26" s="40">
        <f>N26*R26</f>
        <v/>
      </c>
      <c r="U26" s="40">
        <f>S26*T26</f>
        <v/>
      </c>
      <c r="V26" s="41" t="inlineStr">
        <is>
          <t>2026-07-09</t>
        </is>
      </c>
      <c r="W26" s="80" t="n">
        <v>0.4959</v>
      </c>
      <c r="X26" s="43">
        <f>((E26-W26)/W26)+F26</f>
        <v/>
      </c>
      <c r="Y26" s="81" t="n"/>
      <c r="Z26" s="45" t="inlineStr">
        <is>
          <t>是</t>
        </is>
      </c>
      <c r="AA26" s="40">
        <f>IF(Z26="是",IF(G26&lt;0,INT(-G26*100),"0")*N26,"")</f>
        <v/>
      </c>
      <c r="AB26" s="46">
        <f>AA26*S26</f>
        <v/>
      </c>
      <c r="AC26" s="47" t="inlineStr">
        <is>
          <t>关注</t>
        </is>
      </c>
      <c r="AD26" s="50" t="inlineStr">
        <is>
          <t>待检查</t>
        </is>
      </c>
    </row>
    <row r="27">
      <c r="A27" s="28" t="n"/>
      <c r="B27" s="29" t="n"/>
      <c r="C27" s="22" t="n"/>
      <c r="D27" s="40" t="n"/>
      <c r="E27" s="40" t="n"/>
      <c r="F27" s="31" t="n"/>
      <c r="G27" s="32">
        <f>(E27-D27)/D27+F27</f>
        <v/>
      </c>
      <c r="H27" s="34" t="n"/>
      <c r="I27" s="34" t="n"/>
      <c r="J27" s="34" t="n"/>
      <c r="K27" s="34" t="n"/>
      <c r="L27" s="34" t="n"/>
      <c r="M27" s="36" t="n"/>
      <c r="N27" s="37" t="n"/>
      <c r="O27" s="55" t="n"/>
      <c r="P27" s="31">
        <f>(E27-O27)/O27</f>
        <v/>
      </c>
      <c r="Q27" s="31">
        <f>F27+P27</f>
        <v/>
      </c>
      <c r="R27" s="39">
        <f>IF(OR(L27="强烈补仓",L27="建议补仓",L27="可补仓"),MAX(IF(Q27&lt;0,INT(-Q27*100),0),1),0)</f>
        <v/>
      </c>
      <c r="S27" s="40" t="n">
        <v>10</v>
      </c>
      <c r="T27" s="40">
        <f>N27*R27</f>
        <v/>
      </c>
      <c r="U27" s="40">
        <f>S27*T27</f>
        <v/>
      </c>
      <c r="V27" s="41" t="n"/>
      <c r="W27" s="47" t="n"/>
      <c r="X27" s="43">
        <f>((E27-W27)/W27)+F27</f>
        <v/>
      </c>
      <c r="Y27" s="47" t="n"/>
      <c r="Z27" s="45" t="inlineStr">
        <is>
          <t>是</t>
        </is>
      </c>
      <c r="AA27" s="40">
        <f>IF(Z27="是",IF(G27&lt;0,INT(-G27*100),"0")*N27,"")</f>
        <v/>
      </c>
      <c r="AB27" s="46">
        <f>AA27*S27</f>
        <v/>
      </c>
      <c r="AC27" s="47" t="n"/>
      <c r="AD27" s="56" t="n"/>
    </row>
    <row r="28">
      <c r="A28" s="28" t="n"/>
      <c r="B28" s="29" t="n"/>
      <c r="C28" s="22" t="n"/>
      <c r="D28" s="40" t="n"/>
      <c r="E28" s="40" t="n"/>
      <c r="F28" s="31" t="n"/>
      <c r="G28" s="32">
        <f>(E28-D28)/D28+F28</f>
        <v/>
      </c>
      <c r="H28" s="34" t="n"/>
      <c r="I28" s="34" t="n"/>
      <c r="J28" s="34" t="n"/>
      <c r="K28" s="34" t="n"/>
      <c r="L28" s="34" t="n"/>
      <c r="M28" s="36" t="n"/>
      <c r="N28" s="37" t="n"/>
      <c r="O28" s="55" t="n"/>
      <c r="P28" s="31">
        <f>(E28-O28)/O28</f>
        <v/>
      </c>
      <c r="Q28" s="31">
        <f>F28+P28</f>
        <v/>
      </c>
      <c r="R28" s="39">
        <f>IF(Q28&lt;0,INT(-Q28*100),"0")</f>
        <v/>
      </c>
      <c r="S28" s="40" t="n">
        <v>10</v>
      </c>
      <c r="T28" s="40">
        <f>N28*R28</f>
        <v/>
      </c>
      <c r="U28" s="40">
        <f>S28*T28</f>
        <v/>
      </c>
      <c r="V28" s="41" t="n"/>
      <c r="W28" s="47" t="n"/>
      <c r="X28" s="43">
        <f>((E28-W28)/W28)+F28</f>
        <v/>
      </c>
      <c r="Y28" s="47" t="n"/>
      <c r="Z28" s="45" t="inlineStr">
        <is>
          <t>是</t>
        </is>
      </c>
      <c r="AA28" s="40">
        <f>IF(Z28="是",IF(G28&lt;0,INT(-G28*100),"0")*N28,"")</f>
        <v/>
      </c>
      <c r="AB28" s="46">
        <f>AA28*S28</f>
        <v/>
      </c>
      <c r="AC28" s="47" t="n"/>
      <c r="AD28" s="48" t="inlineStr">
        <is>
          <t>—</t>
        </is>
      </c>
    </row>
    <row r="29">
      <c r="A29" s="28" t="n"/>
      <c r="B29" s="29" t="n"/>
      <c r="C29" s="22" t="n"/>
      <c r="D29" s="40" t="n"/>
      <c r="E29" s="87" t="n"/>
      <c r="F29" s="31" t="n"/>
      <c r="G29" s="32">
        <f>(E29-D29)/D29+F29</f>
        <v/>
      </c>
      <c r="H29" s="34" t="n"/>
      <c r="I29" s="34" t="n"/>
      <c r="J29" s="34" t="n"/>
      <c r="K29" s="34" t="n"/>
      <c r="L29" s="34" t="n"/>
      <c r="M29" s="36" t="n"/>
      <c r="N29" s="37" t="n"/>
      <c r="O29" s="55" t="n"/>
      <c r="P29" s="31">
        <f>(E29-O29)/O29</f>
        <v/>
      </c>
      <c r="Q29" s="31">
        <f>F29+P29</f>
        <v/>
      </c>
      <c r="R29" s="39">
        <f>IF(Q29&lt;0,INT(-Q29*100),"0")</f>
        <v/>
      </c>
      <c r="S29" s="40" t="n">
        <v>10</v>
      </c>
      <c r="T29" s="40">
        <f>N29*R29</f>
        <v/>
      </c>
      <c r="U29" s="40">
        <f>S29*T29</f>
        <v/>
      </c>
      <c r="V29" s="41" t="n"/>
      <c r="W29" s="47" t="n"/>
      <c r="X29" s="43">
        <f>((E29-W29)/W29)+F29</f>
        <v/>
      </c>
      <c r="Y29" s="47" t="n"/>
      <c r="Z29" s="45" t="inlineStr">
        <is>
          <t>是</t>
        </is>
      </c>
      <c r="AA29" s="40">
        <f>IF(Z29="是",IF(G29&lt;0,INT(-G29*100),"0")*N29,"")</f>
        <v/>
      </c>
      <c r="AB29" s="46">
        <f>AA29*S29</f>
        <v/>
      </c>
      <c r="AC29" s="47" t="n"/>
      <c r="AD29" s="48" t="inlineStr">
        <is>
          <t>—</t>
        </is>
      </c>
    </row>
  </sheetData>
  <conditionalFormatting sqref="X2:X29">
    <cfRule type="cellIs" priority="3" operator="equal" dxfId="2">
      <formula>0</formula>
    </cfRule>
    <cfRule type="cellIs" priority="2" operator="greaterThan" dxfId="1">
      <formula>0</formula>
    </cfRule>
    <cfRule type="cellIs" priority="1" operator="lessThan" dxfId="3">
      <formula>0</formula>
    </cfRule>
  </conditionalFormatting>
  <conditionalFormatting sqref="F2:G29 P2:Q29">
    <cfRule type="cellIs" priority="6" operator="greaterThan" dxfId="1">
      <formula>0</formula>
    </cfRule>
    <cfRule type="cellIs" priority="7" operator="lessThan" dxfId="5">
      <formula>0</formula>
    </cfRule>
    <cfRule type="cellIs" priority="8" operator="equal" dxfId="6">
      <formula>0</formula>
    </cfRule>
  </conditionalFormatting>
  <conditionalFormatting sqref="U2 U3:U29 Y2:Z2 Y3:Z29">
    <cfRule type="cellIs" priority="4" operator="greaterThan" dxfId="7">
      <formula>0</formula>
    </cfRule>
    <cfRule type="cellIs" priority="5" operator="equal" dxfId="4">
      <formula>0</formula>
    </cfRule>
  </conditionalFormatting>
  <conditionalFormatting sqref="AD2:AD30">
    <cfRule type="expression" priority="13" dxfId="8" stopIfTrue="1">
      <formula>ISNUMBER(SEARCH("不通过",AD2))</formula>
    </cfRule>
    <cfRule type="expression" priority="14" dxfId="9" stopIfTrue="1">
      <formula>AND(ISNUMBER(SEARCH("通过",AD2)),NOT(ISNUMBER(SEARCH("不通过",AD2))))</formula>
    </cfRule>
    <cfRule type="expression" priority="15" dxfId="10" stopIfTrue="1">
      <formula>AD2="待检查"</formula>
    </cfRule>
    <cfRule type="expression" priority="16" dxfId="11" stopIfTrue="1">
      <formula>AD2="—"</formula>
    </cfRule>
  </conditionalFormatting>
  <dataValidations count="2">
    <dataValidation sqref="Z2:Z29" showDropDown="0" showInputMessage="1" showErrorMessage="1" allowBlank="1" type="list">
      <formula1>"是,否"</formula1>
    </dataValidation>
    <dataValidation sqref="AC2:AC29" showDropDown="0" showInputMessage="1" showErrorMessage="1" allowBlank="1" type="list">
      <formula1>"持有,关注"</formula1>
    </dataValidation>
  </dataValidations>
  <pageMargins left="0.7" right="0.7" top="0.75" bottom="0.75" header="0.3" footer="0.3"/>
  <pageSetup orientation="portrait" paperSize="9" horizontalDpi="180" verticalDpi="180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H21"/>
  <sheetViews>
    <sheetView workbookViewId="0">
      <selection activeCell="D9" sqref="D9"/>
    </sheetView>
  </sheetViews>
  <sheetFormatPr baseColWidth="8" defaultColWidth="9" defaultRowHeight="14.25"/>
  <cols>
    <col width="31" customWidth="1" min="1" max="1"/>
    <col width="9.883333333333329" customWidth="1" min="2" max="2"/>
    <col width="9.66666666666667" customWidth="1" min="3" max="3"/>
    <col width="9.21666666666667" customWidth="1" min="4" max="4"/>
    <col width="14" customWidth="1" min="5" max="5"/>
    <col width="13.4416666666667" customWidth="1" min="6" max="6"/>
    <col width="12.2166666666667" customWidth="1" min="7" max="7"/>
    <col width="12.775" customWidth="1" min="8" max="8"/>
  </cols>
  <sheetData>
    <row r="1" ht="18.6" customHeight="1">
      <c r="A1" s="21" t="inlineStr">
        <is>
          <t>基金名（A型-适合长期）</t>
        </is>
      </c>
      <c r="B1" s="21" t="inlineStr">
        <is>
          <t>买入费率</t>
        </is>
      </c>
      <c r="C1" s="21" t="inlineStr">
        <is>
          <t>管理费率</t>
        </is>
      </c>
      <c r="D1" s="21" t="inlineStr">
        <is>
          <t>托管费率</t>
        </is>
      </c>
      <c r="E1" s="21" t="inlineStr">
        <is>
          <t>销售服务费率</t>
        </is>
      </c>
      <c r="F1" s="21" t="inlineStr">
        <is>
          <t>总费率（年）</t>
        </is>
      </c>
      <c r="G1" s="21" t="inlineStr">
        <is>
          <t>持有金额</t>
        </is>
      </c>
      <c r="H1" s="21" t="inlineStr">
        <is>
          <t>手续费（年）</t>
        </is>
      </c>
    </row>
    <row r="2">
      <c r="A2" s="22" t="inlineStr">
        <is>
          <t>泰达宏利中证主要消费红利指数A</t>
        </is>
      </c>
      <c r="B2" s="23" t="n">
        <v>0.0012</v>
      </c>
      <c r="C2" s="23" t="n">
        <v>0.005</v>
      </c>
      <c r="D2" s="23" t="n">
        <v>0.001</v>
      </c>
      <c r="E2" s="23" t="n">
        <v>0</v>
      </c>
      <c r="F2" s="24">
        <f>B2+C2+D2+E2</f>
        <v/>
      </c>
      <c r="G2" s="18" t="n">
        <v>10000</v>
      </c>
      <c r="H2" s="18">
        <f>G2*F2</f>
        <v/>
      </c>
    </row>
    <row r="3">
      <c r="A3" s="22" t="inlineStr">
        <is>
          <t>中欧医疗健康混合A</t>
        </is>
      </c>
      <c r="B3" s="23" t="n">
        <v>0.0015</v>
      </c>
      <c r="C3" s="23" t="n">
        <v>0.012</v>
      </c>
      <c r="D3" s="23" t="n">
        <v>0.002</v>
      </c>
      <c r="E3" s="23" t="n">
        <v>0</v>
      </c>
      <c r="F3" s="24">
        <f>B3+C3+D3+E3</f>
        <v/>
      </c>
      <c r="G3" s="18" t="n">
        <v>10000</v>
      </c>
      <c r="H3" s="18">
        <f>G3*F3</f>
        <v/>
      </c>
    </row>
    <row r="4">
      <c r="A4" s="22" t="inlineStr">
        <is>
          <t>天弘中证光伏产业指数A</t>
        </is>
      </c>
      <c r="B4" s="23" t="n">
        <v>0.001</v>
      </c>
      <c r="C4" s="23" t="n">
        <v>0.005</v>
      </c>
      <c r="D4" s="23" t="n">
        <v>0.001</v>
      </c>
      <c r="E4" s="23" t="n">
        <v>0</v>
      </c>
      <c r="F4" s="24">
        <f>B4+C4+D4+E4</f>
        <v/>
      </c>
      <c r="G4" s="18" t="n">
        <v>10000</v>
      </c>
      <c r="H4" s="18">
        <f>G4*F4</f>
        <v/>
      </c>
    </row>
    <row r="5">
      <c r="A5" s="22" t="inlineStr">
        <is>
          <t>嘉实新能源新材料股票A</t>
        </is>
      </c>
      <c r="B5" s="23" t="n">
        <v>0.0015</v>
      </c>
      <c r="C5" s="23" t="n">
        <v>0.012</v>
      </c>
      <c r="D5" s="23" t="n">
        <v>0.002</v>
      </c>
      <c r="E5" s="23" t="n">
        <v>0</v>
      </c>
      <c r="F5" s="24">
        <f>B5+C5+D5+E5</f>
        <v/>
      </c>
      <c r="G5" s="18" t="n">
        <v>10000</v>
      </c>
      <c r="H5" s="18">
        <f>G5*F5</f>
        <v/>
      </c>
    </row>
    <row r="6">
      <c r="A6" s="22" t="inlineStr">
        <is>
          <t>天弘中证农业主题ETF联接A</t>
        </is>
      </c>
      <c r="B6" s="23" t="n">
        <v>0.001</v>
      </c>
      <c r="C6" s="23" t="n">
        <v>0.005</v>
      </c>
      <c r="D6" s="23" t="n">
        <v>0.001</v>
      </c>
      <c r="E6" s="23" t="n">
        <v>0</v>
      </c>
      <c r="F6" s="24">
        <f>B6+C6+D6+E6</f>
        <v/>
      </c>
      <c r="G6" s="18" t="n">
        <v>10000</v>
      </c>
      <c r="H6" s="18">
        <f>G6*F6</f>
        <v/>
      </c>
    </row>
    <row r="7">
      <c r="A7" s="22" t="inlineStr">
        <is>
          <t>华夏国证半导体芯片ETF</t>
        </is>
      </c>
      <c r="B7" s="23" t="n">
        <v>0.0012</v>
      </c>
      <c r="C7" s="23" t="n">
        <v>0.005</v>
      </c>
      <c r="D7" s="23" t="n">
        <v>0.001</v>
      </c>
      <c r="E7" s="23" t="n">
        <v>0</v>
      </c>
      <c r="F7" s="24">
        <f>B7+C7+D7+E7</f>
        <v/>
      </c>
      <c r="G7" s="18" t="n">
        <v>10000</v>
      </c>
      <c r="H7" s="18">
        <f>G7*F7</f>
        <v/>
      </c>
    </row>
    <row r="8">
      <c r="A8" s="22" t="inlineStr">
        <is>
          <t>前海开源医疗健康混合A</t>
        </is>
      </c>
      <c r="B8" s="23" t="n">
        <v>0.0015</v>
      </c>
      <c r="C8" s="23" t="n">
        <v>0.012</v>
      </c>
      <c r="D8" s="23" t="n">
        <v>0.002</v>
      </c>
      <c r="E8" s="23" t="n">
        <v>0</v>
      </c>
      <c r="F8" s="24">
        <f>B8+C8+D8+E8</f>
        <v/>
      </c>
      <c r="G8" s="18" t="n">
        <v>10000</v>
      </c>
      <c r="H8" s="18">
        <f>G8*F8</f>
        <v/>
      </c>
    </row>
    <row r="14" ht="15.75" customHeight="1">
      <c r="A14" s="21" t="inlineStr">
        <is>
          <t>基金名（C型-适合中短）</t>
        </is>
      </c>
      <c r="B14" s="21" t="inlineStr">
        <is>
          <t>买入费率</t>
        </is>
      </c>
      <c r="C14" s="21" t="inlineStr">
        <is>
          <t>管理费率</t>
        </is>
      </c>
      <c r="D14" s="21" t="inlineStr">
        <is>
          <t>托管费率</t>
        </is>
      </c>
      <c r="E14" s="21" t="inlineStr">
        <is>
          <t>销售服务费率</t>
        </is>
      </c>
      <c r="F14" s="21" t="inlineStr">
        <is>
          <t>总费率（年）</t>
        </is>
      </c>
      <c r="G14" s="21" t="inlineStr">
        <is>
          <t>持有金额</t>
        </is>
      </c>
      <c r="H14" s="21" t="inlineStr">
        <is>
          <t>手续费（年）</t>
        </is>
      </c>
    </row>
    <row r="15">
      <c r="A15" s="22" t="inlineStr">
        <is>
          <t>天弘中证光伏产业指数C</t>
        </is>
      </c>
      <c r="B15" s="23" t="n">
        <v>0</v>
      </c>
      <c r="C15" s="23" t="n">
        <v>0.005</v>
      </c>
      <c r="D15" s="23" t="n">
        <v>0.001</v>
      </c>
      <c r="E15" s="23" t="n">
        <v>0.002</v>
      </c>
      <c r="F15" s="24">
        <f>B15+C15+D15+E15</f>
        <v/>
      </c>
      <c r="G15" s="18" t="n">
        <v>10000</v>
      </c>
      <c r="H15" s="18">
        <f>G15*F15</f>
        <v/>
      </c>
    </row>
    <row r="16">
      <c r="A16" s="22" t="inlineStr">
        <is>
          <t>天弘中证农业主题指数C</t>
        </is>
      </c>
      <c r="B16" s="23" t="n">
        <v>0</v>
      </c>
      <c r="C16" s="23" t="n">
        <v>0.005</v>
      </c>
      <c r="D16" s="23" t="n">
        <v>0.001</v>
      </c>
      <c r="E16" s="23" t="n">
        <v>0.002</v>
      </c>
      <c r="F16" s="24">
        <f>B16+C16+D16+E16</f>
        <v/>
      </c>
      <c r="G16" s="18" t="n">
        <v>10000</v>
      </c>
      <c r="H16" s="18">
        <f>G16*F16</f>
        <v/>
      </c>
    </row>
    <row r="17">
      <c r="A17" s="22" t="inlineStr">
        <is>
          <t>中欧医疗健康混合C</t>
        </is>
      </c>
      <c r="B17" s="23" t="n">
        <v>0</v>
      </c>
      <c r="C17" s="23" t="n">
        <v>0.012</v>
      </c>
      <c r="D17" s="23" t="n">
        <v>0.002</v>
      </c>
      <c r="E17" s="23" t="n">
        <v>0.008</v>
      </c>
      <c r="F17" s="24">
        <f>B17+C17+D17+E17</f>
        <v/>
      </c>
      <c r="G17" s="18" t="n">
        <v>10000</v>
      </c>
      <c r="H17" s="18">
        <f>G17*F17</f>
        <v/>
      </c>
    </row>
    <row r="18">
      <c r="A18" s="22" t="n"/>
      <c r="B18" s="23" t="n"/>
      <c r="C18" s="23" t="n"/>
      <c r="D18" s="23" t="n"/>
      <c r="E18" s="23" t="n"/>
      <c r="F18" s="24">
        <f>B18+C18+D18+E18</f>
        <v/>
      </c>
      <c r="G18" s="18" t="n"/>
      <c r="H18" s="18" t="n"/>
    </row>
    <row r="19">
      <c r="A19" s="22" t="n"/>
      <c r="B19" s="23" t="n"/>
      <c r="C19" s="23" t="n"/>
      <c r="D19" s="23" t="n"/>
      <c r="E19" s="23" t="n"/>
      <c r="F19" s="24">
        <f>B19+C19+D19+E19</f>
        <v/>
      </c>
      <c r="G19" s="18" t="n"/>
      <c r="H19" s="18" t="n"/>
    </row>
    <row r="20">
      <c r="A20" s="22" t="n"/>
      <c r="B20" s="23" t="n"/>
      <c r="C20" s="23" t="n"/>
      <c r="D20" s="23" t="n"/>
      <c r="E20" s="23" t="n"/>
      <c r="F20" s="24">
        <f>B20+C20+D20+E20</f>
        <v/>
      </c>
      <c r="G20" s="18" t="n"/>
      <c r="H20" s="18" t="n"/>
    </row>
    <row r="21">
      <c r="A21" s="22" t="n"/>
      <c r="B21" s="23" t="n"/>
      <c r="C21" s="23" t="n"/>
      <c r="D21" s="23" t="n"/>
      <c r="E21" s="23" t="n"/>
      <c r="F21" s="24">
        <f>B21+C21+D21+E21</f>
        <v/>
      </c>
      <c r="G21" s="18" t="n"/>
      <c r="H21" s="18" t="n"/>
    </row>
  </sheetData>
  <conditionalFormatting sqref="B2:E8">
    <cfRule type="cellIs" priority="3" operator="greaterThan" dxfId="12">
      <formula>0</formula>
    </cfRule>
    <cfRule type="cellIs" priority="4" operator="equal" dxfId="4">
      <formula>0</formula>
    </cfRule>
  </conditionalFormatting>
  <conditionalFormatting sqref="B15:E21">
    <cfRule type="cellIs" priority="1" operator="greaterThan" dxfId="12">
      <formula>0</formula>
    </cfRule>
    <cfRule type="cellIs" priority="2" operator="equal" dxfId="4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E49" sqref="E49"/>
    </sheetView>
  </sheetViews>
  <sheetFormatPr baseColWidth="8" defaultColWidth="9" defaultRowHeight="14.25" outlineLevelRow="7"/>
  <cols>
    <col width="32.775" customWidth="1" min="1" max="1"/>
    <col width="9.55833333333333" customWidth="1" min="2" max="2"/>
    <col width="9.55833333333333" customWidth="1" min="4" max="4"/>
  </cols>
  <sheetData>
    <row r="1" ht="20.4" customHeight="1">
      <c r="A1" s="16" t="inlineStr">
        <is>
          <t>基金名</t>
        </is>
      </c>
      <c r="B1" s="16" t="inlineStr">
        <is>
          <t>总份额</t>
        </is>
      </c>
      <c r="C1" s="16" t="inlineStr">
        <is>
          <t>卖出比例</t>
        </is>
      </c>
      <c r="D1" s="16" t="inlineStr">
        <is>
          <t>卖出份额</t>
        </is>
      </c>
    </row>
    <row r="2">
      <c r="A2" s="17" t="inlineStr">
        <is>
          <t>泰达宏利中证主要消费红利指数A</t>
        </is>
      </c>
      <c r="B2" s="18" t="n">
        <v>29619.82</v>
      </c>
      <c r="C2" s="19" t="n">
        <v>0.1</v>
      </c>
      <c r="D2" s="88">
        <f>B2*C2</f>
        <v/>
      </c>
    </row>
    <row r="3">
      <c r="A3" s="17" t="inlineStr">
        <is>
          <t>中欧医疗健康混合A</t>
        </is>
      </c>
      <c r="B3" s="18" t="n">
        <v>20789.12</v>
      </c>
      <c r="C3" s="19" t="n">
        <v>0.1</v>
      </c>
      <c r="D3" s="88">
        <f>B3*C3</f>
        <v/>
      </c>
    </row>
    <row r="4">
      <c r="A4" s="17" t="inlineStr">
        <is>
          <t>天弘中证光伏产业指数A</t>
        </is>
      </c>
      <c r="B4" s="18" t="n">
        <v>44937.6</v>
      </c>
      <c r="C4" s="19" t="n">
        <v>0.05</v>
      </c>
      <c r="D4" s="88">
        <f>B4*C4</f>
        <v/>
      </c>
    </row>
    <row r="5">
      <c r="A5" s="17" t="inlineStr">
        <is>
          <t>嘉实新能源新材料股票A</t>
        </is>
      </c>
      <c r="B5" s="18" t="n"/>
      <c r="C5" s="19" t="n">
        <v>0.05</v>
      </c>
      <c r="D5" s="88">
        <f>B5*C5</f>
        <v/>
      </c>
    </row>
    <row r="6">
      <c r="A6" s="17" t="inlineStr">
        <is>
          <t>天弘中证农业主题ETF联接A</t>
        </is>
      </c>
      <c r="B6" s="18" t="n"/>
      <c r="C6" s="19" t="n">
        <v>0.05</v>
      </c>
      <c r="D6" s="88">
        <f>B6*C6</f>
        <v/>
      </c>
    </row>
    <row r="7">
      <c r="A7" s="17" t="inlineStr">
        <is>
          <t>华夏国证半导体芯片ETF</t>
        </is>
      </c>
      <c r="B7" s="18" t="n">
        <v>23830.93</v>
      </c>
      <c r="C7" s="19" t="n">
        <v>0.1</v>
      </c>
      <c r="D7" s="88">
        <f>B7*C7</f>
        <v/>
      </c>
    </row>
    <row r="8">
      <c r="A8" s="17" t="inlineStr">
        <is>
          <t>前海开源医疗健康混合A</t>
        </is>
      </c>
      <c r="B8" s="18" t="n">
        <v>19800.37</v>
      </c>
      <c r="C8" s="19" t="n">
        <v>0.05</v>
      </c>
      <c r="D8" s="88">
        <f>B8*C8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49">
    <outlinePr summaryBelow="1" summaryRight="1"/>
    <pageSetUpPr/>
  </sheetPr>
  <dimension ref="A1:N28"/>
  <sheetViews>
    <sheetView workbookViewId="0">
      <selection activeCell="M9" sqref="M9"/>
    </sheetView>
  </sheetViews>
  <sheetFormatPr baseColWidth="8" defaultColWidth="9" defaultRowHeight="14.25"/>
  <cols>
    <col width="26" customWidth="1" min="1" max="1"/>
    <col width="13.8833333333333" customWidth="1" min="2" max="2"/>
    <col width="10" customWidth="1" min="3" max="3"/>
    <col width="9.55833333333333" customWidth="1" min="4" max="5"/>
    <col width="13.8833333333333" customWidth="1" min="6" max="6"/>
    <col width="11.6666666666667" customWidth="1" min="7" max="8"/>
    <col width="10.5583333333333" customWidth="1" min="10" max="10"/>
    <col width="9.55833333333333" customWidth="1" min="11" max="12"/>
    <col width="6.55833333333333" customWidth="1" min="13" max="13"/>
    <col width="8.44166666666667" customWidth="1" min="14" max="14"/>
  </cols>
  <sheetData>
    <row r="1">
      <c r="A1" s="1" t="inlineStr">
        <is>
          <t>盈亏计算模板</t>
        </is>
      </c>
      <c r="E1" s="2" t="n"/>
      <c r="J1" s="3" t="inlineStr">
        <is>
          <t>涨幅</t>
        </is>
      </c>
      <c r="K1" s="4" t="n"/>
      <c r="L1" s="4" t="n"/>
      <c r="M1" s="4" t="n"/>
      <c r="N1" s="5" t="n"/>
    </row>
    <row r="2">
      <c r="A2" s="6" t="inlineStr">
        <is>
          <t>基金名</t>
        </is>
      </c>
      <c r="B2" s="6" t="inlineStr">
        <is>
          <t>当前持仓</t>
        </is>
      </c>
      <c r="C2" s="6" t="inlineStr">
        <is>
          <t>持有收益</t>
        </is>
      </c>
      <c r="D2" s="6" t="inlineStr">
        <is>
          <t>原持仓</t>
        </is>
      </c>
      <c r="E2" s="6" t="inlineStr">
        <is>
          <t>盈亏比例</t>
        </is>
      </c>
      <c r="J2" s="6" t="inlineStr">
        <is>
          <t>基金名</t>
        </is>
      </c>
      <c r="K2" s="7" t="inlineStr">
        <is>
          <t>锚定低点</t>
        </is>
      </c>
      <c r="L2" s="7" t="inlineStr">
        <is>
          <t>当前单价</t>
        </is>
      </c>
      <c r="M2" s="7" t="inlineStr">
        <is>
          <t>差额</t>
        </is>
      </c>
      <c r="N2" s="7" t="inlineStr">
        <is>
          <t>涨幅</t>
        </is>
      </c>
    </row>
    <row r="3">
      <c r="A3" s="8" t="n"/>
      <c r="B3" s="8" t="n"/>
      <c r="C3" s="9" t="n"/>
      <c r="D3" s="8">
        <f>IF(C3&gt;=0,SUM(B3-C3),SUM(B3+(-C3)))</f>
        <v/>
      </c>
      <c r="E3" s="10">
        <f>IF(C3&gt;=0,C3/B3,C3/D3)</f>
        <v/>
      </c>
      <c r="J3" s="8" t="inlineStr">
        <is>
          <t>基建ETF</t>
        </is>
      </c>
      <c r="K3" s="8" t="n">
        <v>0.5</v>
      </c>
      <c r="L3" s="8" t="n">
        <v>0.521</v>
      </c>
      <c r="M3" s="8">
        <f>L3-K3</f>
        <v/>
      </c>
      <c r="N3" s="10">
        <f>M3/K3*100%</f>
        <v/>
      </c>
    </row>
    <row r="4">
      <c r="J4" s="8" t="inlineStr">
        <is>
          <t>上证50ETF</t>
        </is>
      </c>
      <c r="K4" s="8" t="n">
        <v>3.348</v>
      </c>
      <c r="L4" s="8" t="n">
        <v>5.047</v>
      </c>
      <c r="M4" s="8">
        <f>L4-K4</f>
        <v/>
      </c>
      <c r="N4" s="10">
        <f>M4/K4*100%</f>
        <v/>
      </c>
    </row>
    <row r="5">
      <c r="J5" s="8" t="inlineStr">
        <is>
          <t>证券ETF</t>
        </is>
      </c>
      <c r="K5" s="8" t="n">
        <v>0.66</v>
      </c>
      <c r="L5" s="8" t="n">
        <v>0.61</v>
      </c>
      <c r="M5" s="8">
        <f>L5-K5</f>
        <v/>
      </c>
      <c r="N5" s="10">
        <f>M5/K5*100%</f>
        <v/>
      </c>
    </row>
    <row r="6">
      <c r="A6" s="3" t="inlineStr">
        <is>
          <t>卖出份额计算模板</t>
        </is>
      </c>
      <c r="B6" s="4" t="n"/>
      <c r="C6" s="4" t="n"/>
      <c r="D6" s="5" t="n"/>
    </row>
    <row r="7">
      <c r="A7" s="6" t="inlineStr">
        <is>
          <t>基金名</t>
        </is>
      </c>
      <c r="B7" s="6" t="inlineStr">
        <is>
          <t>总份额</t>
        </is>
      </c>
      <c r="C7" s="6" t="inlineStr">
        <is>
          <t>卖出比例</t>
        </is>
      </c>
      <c r="D7" s="6" t="inlineStr">
        <is>
          <t>卖出份额</t>
        </is>
      </c>
    </row>
    <row r="8">
      <c r="A8" s="8" t="n"/>
      <c r="B8" s="8" t="n">
        <v>9297.040000000001</v>
      </c>
      <c r="C8" s="11" t="n">
        <v>0.15</v>
      </c>
      <c r="D8" s="8">
        <f>B8*C8</f>
        <v/>
      </c>
    </row>
    <row r="11">
      <c r="A11" s="3" t="inlineStr">
        <is>
          <t>建仓买入计算模板（场内）</t>
        </is>
      </c>
      <c r="B11" s="4" t="n"/>
      <c r="C11" s="4" t="n"/>
      <c r="D11" s="4" t="n"/>
      <c r="E11" s="4" t="n"/>
      <c r="F11" s="4" t="n"/>
      <c r="G11" s="5" t="n"/>
    </row>
    <row r="12">
      <c r="A12" s="6" t="inlineStr">
        <is>
          <t>基金名</t>
        </is>
      </c>
      <c r="B12" s="12" t="inlineStr">
        <is>
          <t>历史最高净值</t>
        </is>
      </c>
      <c r="C12" s="12" t="inlineStr">
        <is>
          <t>当前净值</t>
        </is>
      </c>
      <c r="D12" s="12" t="inlineStr">
        <is>
          <t>净值差额</t>
        </is>
      </c>
      <c r="E12" s="12" t="inlineStr">
        <is>
          <t>跌幅</t>
        </is>
      </c>
      <c r="F12" s="12" t="inlineStr">
        <is>
          <t>买入每份金额</t>
        </is>
      </c>
      <c r="G12" s="12" t="inlineStr">
        <is>
          <t>总买入金额</t>
        </is>
      </c>
    </row>
    <row r="13">
      <c r="A13" s="8" t="inlineStr">
        <is>
          <t>瑞信工银医疗A</t>
        </is>
      </c>
      <c r="B13" s="8" t="n">
        <v>2.177</v>
      </c>
      <c r="C13" s="8" t="n">
        <v>1.265</v>
      </c>
      <c r="D13" s="8">
        <f>C13-B13</f>
        <v/>
      </c>
      <c r="E13" s="13">
        <f>D13/B13*100%</f>
        <v/>
      </c>
      <c r="F13" s="8" t="n">
        <v>100</v>
      </c>
      <c r="G13" s="14">
        <f>INT(-E13*100)*F13</f>
        <v/>
      </c>
    </row>
    <row r="14">
      <c r="A14" s="8" t="inlineStr">
        <is>
          <t>泰达宏利中证主要消费红利指数A</t>
        </is>
      </c>
      <c r="B14" s="8" t="n">
        <v>1.9384</v>
      </c>
      <c r="C14" s="8" t="n">
        <v>1.5578</v>
      </c>
      <c r="D14" s="8">
        <f>C14-B14</f>
        <v/>
      </c>
      <c r="E14" s="13">
        <f>D14/B14*100%</f>
        <v/>
      </c>
      <c r="F14" s="8" t="n">
        <v>100</v>
      </c>
      <c r="G14" s="14">
        <f>INT(-E14*100)*F14</f>
        <v/>
      </c>
    </row>
    <row r="15">
      <c r="A15" s="8" t="inlineStr">
        <is>
          <t>中欧医疗健康混合A</t>
        </is>
      </c>
      <c r="B15" s="8" t="n">
        <v>4.31</v>
      </c>
      <c r="C15" s="8" t="n">
        <v>1.6126</v>
      </c>
      <c r="D15" s="8">
        <f>C15-B15</f>
        <v/>
      </c>
      <c r="E15" s="13">
        <f>D15/B15*100%</f>
        <v/>
      </c>
      <c r="F15" s="8" t="n">
        <v>100</v>
      </c>
      <c r="G15" s="14">
        <f>INT(-E15*100)*F15</f>
        <v/>
      </c>
    </row>
    <row r="16">
      <c r="A16" s="8" t="inlineStr">
        <is>
          <t>天弘中证光伏产业指数A</t>
        </is>
      </c>
      <c r="B16" s="8" t="n">
        <v>1.5245</v>
      </c>
      <c r="C16" s="8" t="n">
        <v>0.6675</v>
      </c>
      <c r="D16" s="8">
        <f>C16-B16</f>
        <v/>
      </c>
      <c r="E16" s="13">
        <f>D16/B16*100%</f>
        <v/>
      </c>
      <c r="F16" s="8" t="n">
        <v>100</v>
      </c>
      <c r="G16" s="14">
        <f>INT(-E16*100)*F16</f>
        <v/>
      </c>
    </row>
    <row r="17">
      <c r="A17" s="8" t="inlineStr">
        <is>
          <t>嘉实新能源新材料股票A</t>
        </is>
      </c>
      <c r="B17" s="8" t="n">
        <v>3.849</v>
      </c>
      <c r="C17" s="8" t="n">
        <v>1.7435</v>
      </c>
      <c r="D17" s="8">
        <f>C17-B17</f>
        <v/>
      </c>
      <c r="E17" s="13">
        <f>D17/B17*100%</f>
        <v/>
      </c>
      <c r="F17" s="8" t="n">
        <v>100</v>
      </c>
      <c r="G17" s="14">
        <f>INT(-E17*100)*F17</f>
        <v/>
      </c>
    </row>
    <row r="18">
      <c r="A18" s="8" t="inlineStr">
        <is>
          <t>华夏国证半导体芯片ETF</t>
        </is>
      </c>
      <c r="B18" s="8" t="n">
        <v>1.6268</v>
      </c>
      <c r="C18" s="8" t="n">
        <v>1.0897</v>
      </c>
      <c r="D18" s="8">
        <f>C18-B18</f>
        <v/>
      </c>
      <c r="E18" s="13">
        <f>D18/B18*100%</f>
        <v/>
      </c>
      <c r="F18" s="8" t="n">
        <v>100</v>
      </c>
      <c r="G18" s="14">
        <f>INT(-E18*100)*F18</f>
        <v/>
      </c>
    </row>
    <row r="20">
      <c r="A20" s="3" t="inlineStr">
        <is>
          <t>建仓买入计算模板（场外）</t>
        </is>
      </c>
      <c r="B20" s="4" t="n"/>
      <c r="C20" s="4" t="n"/>
      <c r="D20" s="4" t="n"/>
      <c r="E20" s="4" t="n"/>
      <c r="F20" s="4" t="n"/>
      <c r="G20" s="4" t="n"/>
      <c r="H20" s="5" t="n"/>
    </row>
    <row r="21">
      <c r="A21" s="6" t="inlineStr">
        <is>
          <t>基金名</t>
        </is>
      </c>
      <c r="B21" s="7" t="inlineStr">
        <is>
          <t>历史最高净值</t>
        </is>
      </c>
      <c r="C21" s="7" t="inlineStr">
        <is>
          <t>当前净值</t>
        </is>
      </c>
      <c r="D21" s="7" t="inlineStr">
        <is>
          <t>净值差额</t>
        </is>
      </c>
      <c r="E21" s="7" t="inlineStr">
        <is>
          <t>跌幅</t>
        </is>
      </c>
      <c r="F21" s="7" t="inlineStr">
        <is>
          <t>买入每份金额</t>
        </is>
      </c>
      <c r="G21" s="7" t="inlineStr">
        <is>
          <t>总买入份数</t>
        </is>
      </c>
      <c r="H21" s="7" t="inlineStr">
        <is>
          <t>总买入金额</t>
        </is>
      </c>
    </row>
    <row r="22">
      <c r="A22" s="8" t="inlineStr">
        <is>
          <t>上证50ETF</t>
        </is>
      </c>
      <c r="B22" s="8" t="n">
        <v>36.37</v>
      </c>
      <c r="C22" s="8" t="n">
        <v>5</v>
      </c>
      <c r="D22" s="8">
        <f>C22-B22</f>
        <v/>
      </c>
      <c r="E22" s="10">
        <f>D22/B22*100%</f>
        <v/>
      </c>
      <c r="F22" s="8">
        <f>C22</f>
        <v/>
      </c>
      <c r="G22" s="8" t="n">
        <v>4000</v>
      </c>
      <c r="H22" s="8">
        <f>(F22*G22)</f>
        <v/>
      </c>
    </row>
    <row r="23">
      <c r="A23" s="8" t="inlineStr">
        <is>
          <t>证券ETF</t>
        </is>
      </c>
      <c r="B23" s="8" t="n">
        <v>1.167</v>
      </c>
      <c r="C23" s="8" t="n">
        <v>0.819</v>
      </c>
      <c r="D23" s="8">
        <f>C23-B23</f>
        <v/>
      </c>
      <c r="E23" s="10">
        <f>D23/B23*100%</f>
        <v/>
      </c>
      <c r="F23" s="8">
        <f>C23</f>
        <v/>
      </c>
      <c r="G23" s="8">
        <f>INT(-E23*100)*100</f>
        <v/>
      </c>
      <c r="H23" s="8">
        <f>(F23*G23)</f>
        <v/>
      </c>
    </row>
    <row r="24">
      <c r="A24" s="8" t="inlineStr">
        <is>
          <t>证券ETF</t>
        </is>
      </c>
      <c r="B24" s="8" t="n">
        <v>1.167</v>
      </c>
      <c r="C24" s="8" t="n">
        <v>0.819</v>
      </c>
      <c r="D24" s="8">
        <f>C24-B24</f>
        <v/>
      </c>
      <c r="E24" s="10">
        <f>D24/B24*100%</f>
        <v/>
      </c>
      <c r="F24" s="8">
        <f>C24</f>
        <v/>
      </c>
      <c r="G24" s="8">
        <f>INT(-E24*100)*100</f>
        <v/>
      </c>
      <c r="H24" s="8">
        <f>(F24*G24)</f>
        <v/>
      </c>
    </row>
    <row r="28">
      <c r="A28" t="n">
        <v>9.531000000000001</v>
      </c>
      <c r="B28" s="15" t="n">
        <v>0.05</v>
      </c>
      <c r="C28">
        <f>A28*B28</f>
        <v/>
      </c>
      <c r="D28">
        <f>A28-C28</f>
        <v/>
      </c>
    </row>
  </sheetData>
  <mergeCells count="5">
    <mergeCell ref="A6:D6"/>
    <mergeCell ref="A20:H20"/>
    <mergeCell ref="A1:E1"/>
    <mergeCell ref="J1:N1"/>
    <mergeCell ref="A11:G11"/>
  </mergeCells>
  <conditionalFormatting sqref="E3">
    <cfRule type="cellIs" priority="1" operator="lessThan" dxfId="5">
      <formula>0</formula>
    </cfRule>
    <cfRule type="cellIs" priority="2" operator="equal" dxfId="13">
      <formula>0</formula>
    </cfRule>
    <cfRule type="cellIs" priority="3" operator="greaterThan" dxfId="1">
      <formula>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MICK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2026-07-28T13:39:32Z</dcterms:modified>
  <cp:lastModifiedBy>mick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ADB26892954F4C4EA3430B03434CECC9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